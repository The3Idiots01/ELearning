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WBS" sheetId="2" r:id="rId5"/>
    <sheet state="visible" name="Sprint Summary" sheetId="3" r:id="rId6"/>
    <sheet state="visible" name="Master Data" sheetId="4" r:id="rId7"/>
    <sheet state="visible" name="Guide" sheetId="5" r:id="rId8"/>
  </sheets>
  <definedNames>
    <definedName hidden="1" localSheetId="0" name="_xlnm._FilterDatabase">Backlog!$A$1:$S$59</definedName>
    <definedName hidden="1" localSheetId="1" name="_xlnm._FilterDatabase">WBS!$A$1:$Q$159</definedName>
  </definedNames>
  <calcPr/>
  <extLst>
    <ext uri="GoogleSheetsCustomDataVersion2">
      <go:sheetsCustomData xmlns:go="http://customooxmlschemas.google.com/" r:id="rId9" roundtripDataChecksum="rrYwSuZBBl5hHcPlFeVtbbAtSKtQUdJpW7sBY+CyTCk="/>
    </ext>
  </extLst>
</workbook>
</file>

<file path=xl/sharedStrings.xml><?xml version="1.0" encoding="utf-8"?>
<sst xmlns="http://schemas.openxmlformats.org/spreadsheetml/2006/main" count="773" uniqueCount="360">
  <si>
    <t>Master data - the allowed values behind every dropdown in this workbook.</t>
  </si>
  <si>
    <t>Story ID</t>
  </si>
  <si>
    <t>Sprint summary - every number here is a formula over the WBS and Backlog sheets.</t>
  </si>
  <si>
    <t>Status, Priority, Points, Risk and Type are fixed by the brief - do not rename them. Assignee and Sprint are yours: put in your team and check the dates against submission_guide.md.</t>
  </si>
  <si>
    <t>Epic / Module</t>
  </si>
  <si>
    <t>Type</t>
  </si>
  <si>
    <t>User Story (As a ... I want ... so that ...)</t>
  </si>
  <si>
    <t>Acceptance Criteria</t>
  </si>
  <si>
    <t>Task ID</t>
  </si>
  <si>
    <t>Priority</t>
  </si>
  <si>
    <t>Status</t>
  </si>
  <si>
    <t>Task</t>
  </si>
  <si>
    <t>Points</t>
  </si>
  <si>
    <t>Member view sprint:</t>
  </si>
  <si>
    <t>Assignee</t>
  </si>
  <si>
    <t>Sprint</t>
  </si>
  <si>
    <t>When to use it</t>
  </si>
  <si>
    <t>Estimate (h)</t>
  </si>
  <si>
    <t>Owner</t>
  </si>
  <si>
    <t>Depends On</t>
  </si>
  <si>
    <t>Risk</t>
  </si>
  <si>
    <t>Note</t>
  </si>
  <si>
    <t>Tasks</t>
  </si>
  <si>
    <t>Sprint 2</t>
  </si>
  <si>
    <t>Est (h)</t>
  </si>
  <si>
    <t>Actual (h)</t>
  </si>
  <si>
    <t>Task Type</t>
  </si>
  <si>
    <t>Remain (h)</t>
  </si>
  <si>
    <t>Progress</t>
  </si>
  <si>
    <t>Planned Start</t>
  </si>
  <si>
    <t>Demo in review</t>
  </si>
  <si>
    <t>Note required?</t>
  </si>
  <si>
    <t>Stories</t>
  </si>
  <si>
    <t>Planned End</t>
  </si>
  <si>
    <t>US-01</t>
  </si>
  <si>
    <t>Meaning (MoSCoW)</t>
  </si>
  <si>
    <t>Auth</t>
  </si>
  <si>
    <t>Blocked By</t>
  </si>
  <si>
    <t>done</t>
  </si>
  <si>
    <t>Reviewer</t>
  </si>
  <si>
    <t>in-progress</t>
  </si>
  <si>
    <t>Start</t>
  </si>
  <si>
    <t>todo</t>
  </si>
  <si>
    <t>As a visitor, I want to register a learner or instructor account so that I can access the platform.</t>
  </si>
  <si>
    <t>Done Date</t>
  </si>
  <si>
    <t>pending</t>
  </si>
  <si>
    <t>End</t>
  </si>
  <si>
    <t>Email + password validated; a verification email is sent; a user can hold both learner and instructor roles (FR-AUTH-03).</t>
  </si>
  <si>
    <t>Evidence (PR / commit)</t>
  </si>
  <si>
    <t>% done (h)</t>
  </si>
  <si>
    <t>Deadline</t>
  </si>
  <si>
    <t>Must</t>
  </si>
  <si>
    <t>Sprint 1</t>
  </si>
  <si>
    <t>Full name</t>
  </si>
  <si>
    <t>Role in the team</t>
  </si>
  <si>
    <t>T-001</t>
  </si>
  <si>
    <t>Story Type</t>
  </si>
  <si>
    <t>Complete Project Proposal</t>
  </si>
  <si>
    <t>DuongNT182</t>
  </si>
  <si>
    <t>Meaning</t>
  </si>
  <si>
    <t>TienPQ9</t>
  </si>
  <si>
    <t>Yes/No</t>
  </si>
  <si>
    <t>ID format</t>
  </si>
  <si>
    <t>Example</t>
  </si>
  <si>
    <t>Rule</t>
  </si>
  <si>
    <t>Yes</t>
  </si>
  <si>
    <t>Planned, nobody has started it yet.</t>
  </si>
  <si>
    <t>US-02</t>
  </si>
  <si>
    <t>Only when it is waiting on something, or was added after the freeze.</t>
  </si>
  <si>
    <t>As a registered user, I want to log in and get role-based access so that I can use the features for my role.</t>
  </si>
  <si>
    <t>Correct credentials return a session/JWT; role drives authorization; account locks 30 min after 5 wrong tries.</t>
  </si>
  <si>
    <t>Ship it or the product does not work.</t>
  </si>
  <si>
    <t>Sprint 3</t>
  </si>
  <si>
    <t>T-002</t>
  </si>
  <si>
    <t>Initiate Backlog And WBS</t>
  </si>
  <si>
    <t>2026-08-19 23:59</t>
  </si>
  <si>
    <t>Phung Quang Tien</t>
  </si>
  <si>
    <t>US-03</t>
  </si>
  <si>
    <t>Frontend / Backend</t>
  </si>
  <si>
    <t>Analysis</t>
  </si>
  <si>
    <t>Feature</t>
  </si>
  <si>
    <t>As a user, I want to sign in with Google/Facebook so that I do not manage another password.</t>
  </si>
  <si>
    <t>OAuth login creates or links an account; a returning OAuth user lands logged in.</t>
  </si>
  <si>
    <t>Low</t>
  </si>
  <si>
    <t>Should</t>
  </si>
  <si>
    <t>Known ground, no unknowns left.</t>
  </si>
  <si>
    <t>T-003</t>
  </si>
  <si>
    <t>Initiate Database 01</t>
  </si>
  <si>
    <t>Sprint 4</t>
  </si>
  <si>
    <t>TungNT188</t>
  </si>
  <si>
    <t>US- plus two digits. One row per story on the Backlog sheet.</t>
  </si>
  <si>
    <t>US-04</t>
  </si>
  <si>
    <t>Someone is working on it right now.</t>
  </si>
  <si>
    <t>Yes - name the concrete step you are on.</t>
  </si>
  <si>
    <t>As a signed-in user, I want to view and edit my profile so that my account details stay current.</t>
  </si>
  <si>
    <t>T-004</t>
  </si>
  <si>
    <t>View profile; edit name/avatar; change password with a current-password check.</t>
  </si>
  <si>
    <t>Initiate SRS v 01</t>
  </si>
  <si>
    <t>Important, but the sprint survives without it.</t>
  </si>
  <si>
    <t>2026-08-25 23:59</t>
  </si>
  <si>
    <t>Nguyễn Tùng Dương</t>
  </si>
  <si>
    <t>Design</t>
  </si>
  <si>
    <t>US-05</t>
  </si>
  <si>
    <t>Tech</t>
  </si>
  <si>
    <t>Course Authoring</t>
  </si>
  <si>
    <t>As an instructor, I want to create and edit a course and set its price so that I can publish it for sale.</t>
  </si>
  <si>
    <t>T-005</t>
  </si>
  <si>
    <t>Course CRUD with title/description/thumbnail/price; draft vs published state; only the owner can edit.</t>
  </si>
  <si>
    <t>Medium</t>
  </si>
  <si>
    <t>Initiate HLD &amp; LLD v01</t>
  </si>
  <si>
    <t>One unknown - a library or an API nobody used yet.</t>
  </si>
  <si>
    <t>No</t>
  </si>
  <si>
    <t>T-011</t>
  </si>
  <si>
    <t>T- plus story number plus a task number: T-011 is task 1 of US-01.</t>
  </si>
  <si>
    <t>Merged into the default branch and it works.</t>
  </si>
  <si>
    <t>Optional - evidence, or the scope you cut.</t>
  </si>
  <si>
    <t>Could</t>
  </si>
  <si>
    <t>Nice to have if there is time left.</t>
  </si>
  <si>
    <t>US-06</t>
  </si>
  <si>
    <t>T-006</t>
  </si>
  <si>
    <t>Project skeleton  + users schema (V1)</t>
  </si>
  <si>
    <t>As an instructor, I want to add and edit multi-format lessons (video, text, file) so that my course has real content.</t>
  </si>
  <si>
    <t>Lessons ordered within sections; video stored by storage_key not a public URL; add/edit/delete lesson.</t>
  </si>
  <si>
    <t>2026-09-04 23:59</t>
  </si>
  <si>
    <t>Nguyễn Thanh Tùng</t>
  </si>
  <si>
    <t>Database</t>
  </si>
  <si>
    <t>Bug</t>
  </si>
  <si>
    <t>High</t>
  </si>
  <si>
    <t>Technical hard core, or a third-party the team cannot control.</t>
  </si>
  <si>
    <t>Account</t>
  </si>
  <si>
    <t>T-012</t>
  </si>
  <si>
    <t>AlexDF</t>
  </si>
  <si>
    <t>Registration: API + email verification</t>
  </si>
  <si>
    <t>First name plus the initials of the remaining parts: Alex De Fleu.</t>
  </si>
  <si>
    <t>US-07</t>
  </si>
  <si>
    <t>Quiz</t>
  </si>
  <si>
    <t>Started or planned, then stopped.</t>
  </si>
  <si>
    <t>Yes - why it stopped and what unblocks it.</t>
  </si>
  <si>
    <t>As an instructor, I want to create a quiz for a lesson so that learners can test themselves.</t>
  </si>
  <si>
    <t>Won't</t>
  </si>
  <si>
    <t>Quiz with questions/options and a correct answer; attached to a lesson.</t>
  </si>
  <si>
    <t>Agreed out of scope for this release.</t>
  </si>
  <si>
    <t>2026-09-11 23:59</t>
  </si>
  <si>
    <t>Backend</t>
  </si>
  <si>
    <t>Spike</t>
  </si>
  <si>
    <t>T-013</t>
  </si>
  <si>
    <t>Register screen (learner / instructor)</t>
  </si>
  <si>
    <t>Backlog</t>
  </si>
  <si>
    <t>Not scheduled yet</t>
  </si>
  <si>
    <t>&lt;acc5&gt;</t>
  </si>
  <si>
    <t>&lt;full name&gt;</t>
  </si>
  <si>
    <t>&lt;role&gt;</t>
  </si>
  <si>
    <t>Frontend</t>
  </si>
  <si>
    <t>US-08</t>
  </si>
  <si>
    <t>Chore</t>
  </si>
  <si>
    <t>Instructor</t>
  </si>
  <si>
    <t>Integration</t>
  </si>
  <si>
    <t>As an instructor, I want to manage the courses I have published so that I can keep them up to date.</t>
  </si>
  <si>
    <t>Test</t>
  </si>
  <si>
    <t>List own courses with status; unpublish/republish; see enrollment count.</t>
  </si>
  <si>
    <t>Docs</t>
  </si>
  <si>
    <t>DevOps</t>
  </si>
  <si>
    <t>Bugfix</t>
  </si>
  <si>
    <t>T-041</t>
  </si>
  <si>
    <t>Profile API + change password</t>
  </si>
  <si>
    <t>US-09</t>
  </si>
  <si>
    <t>As an instructor, I want to see my revenue so that I know how my courses perform.</t>
  </si>
  <si>
    <t>Revenue per course and total, from completed (paid) orders only.</t>
  </si>
  <si>
    <t>T-042</t>
  </si>
  <si>
    <t>Profile view / edit screen + avatar, information,.. ( especially instructor need setup profile before create course)</t>
  </si>
  <si>
    <t>US-14</t>
  </si>
  <si>
    <t>US-10</t>
  </si>
  <si>
    <t>Discovery</t>
  </si>
  <si>
    <t>As a learner, I want to search and filter courses so that I can find what I want.</t>
  </si>
  <si>
    <t>Search by keyword; filter by category/price; paginated results.</t>
  </si>
  <si>
    <t>T-081</t>
  </si>
  <si>
    <t>US-11</t>
  </si>
  <si>
    <t>API: list instructor's own courses with status and enrollment count</t>
  </si>
  <si>
    <t>As a learner, I want to view a course landing page and preview lesson (if have) so that I can decide before buying.</t>
  </si>
  <si>
    <t>Shows description, curriculum, price and rating; free-preview lessons if any.</t>
  </si>
  <si>
    <t>US-13</t>
  </si>
  <si>
    <t>Payment</t>
  </si>
  <si>
    <t>As a learner, I want to create an order and be redirected to the payment gateway so that I can pay for a course.</t>
  </si>
  <si>
    <t>Order created with a unique order_code; redirect to MoMo/VNPay; order stays pending until IPN confirms.</t>
  </si>
  <si>
    <t>T-082</t>
  </si>
  <si>
    <t>API: unpublish / republish a course</t>
  </si>
  <si>
    <t>As a learner,I want the system to automatically grant me course access right after my payment is successful,So that I can start learning immediately without waiting for manual approval.</t>
  </si>
  <si>
    <t>Server-to-server IPN verified; duplicate IPN is idempotent (FR-PAY-03); enrollment created on success; browser redirect is not trusted for confirmation.</t>
  </si>
  <si>
    <t>US-15</t>
  </si>
  <si>
    <t>Delivery</t>
  </si>
  <si>
    <t>As a learner, I want lesson content served with access control so that only enrolled users can watch and links cannot be shared.</t>
  </si>
  <si>
    <t>Content fetched via a short-lived signed URL ; HTTP Range requests supported for seeking; a non-enrolled user is denied.</t>
  </si>
  <si>
    <t>T-083</t>
  </si>
  <si>
    <t>Instructor "My Courses" screen</t>
  </si>
  <si>
    <t>US-16</t>
  </si>
  <si>
    <t>Learning</t>
  </si>
  <si>
    <t>As a learner, I want to study the lessons in a course I bought so that I can learn.</t>
  </si>
  <si>
    <t>Enrolled learner opens the player and navigates sections/lessons; a non-enrolled user is blocked.</t>
  </si>
  <si>
    <t>T-051</t>
  </si>
  <si>
    <t>Course CRUD API: title, description, thumbnail, price</t>
  </si>
  <si>
    <t>US-17</t>
  </si>
  <si>
    <t xml:space="preserve">As a learner, I want my video progress tracked with resume so that I can pick up where I left off, and a completion % </t>
  </si>
  <si>
    <t>Per member - for the sprint picked in C2</t>
  </si>
  <si>
    <t>current_position saved for resume; a lesson completes at &gt;=90% watched; course % from completed lessons.</t>
  </si>
  <si>
    <t>Member</t>
  </si>
  <si>
    <t>T-052</t>
  </si>
  <si>
    <t>Create / edit course screen</t>
  </si>
  <si>
    <t>US-18</t>
  </si>
  <si>
    <t>Reviews</t>
  </si>
  <si>
    <t>Capacity (h)</t>
  </si>
  <si>
    <t>As a learner, I want to rate and review a course so that others can judge it.</t>
  </si>
  <si>
    <t>Load</t>
  </si>
  <si>
    <t>One review per enrolled learner; star + comment; course rating_avg updates.</t>
  </si>
  <si>
    <t>T-053</t>
  </si>
  <si>
    <t>Draft / published state and owner-only edit check</t>
  </si>
  <si>
    <t>T-061</t>
  </si>
  <si>
    <t>US-19</t>
  </si>
  <si>
    <t>Create course with content, section, lesson</t>
  </si>
  <si>
    <t>As a learner, I want to see the courses I have bought so that I can get back to them.</t>
  </si>
  <si>
    <t>My-courses list of active enrollments, each with a resume link.</t>
  </si>
  <si>
    <t>T-062</t>
  </si>
  <si>
    <t>Lesson CRUD API (video / text / file), stores storage_key</t>
  </si>
  <si>
    <t>US-20</t>
  </si>
  <si>
    <t>As a learner, I want to take a quiz and get an automatic score so that I know how I did.</t>
  </si>
  <si>
    <t>Submit answers; auto-graded; score and per-question result shown; attempt recorded.</t>
  </si>
  <si>
    <t>T-063</t>
  </si>
  <si>
    <t>US-21</t>
  </si>
  <si>
    <t>Course content screen: section–lesson tree, drag to reorder</t>
  </si>
  <si>
    <t>Q&amp;A</t>
  </si>
  <si>
    <t>As a learner, I want to ask the instructor questions on a lesson so that I can clear doubts.</t>
  </si>
  <si>
    <t>Post a question on a lesson; instructor replies; the thread is visible on the lesson.</t>
  </si>
  <si>
    <t>T-101</t>
  </si>
  <si>
    <t>Search API: keyword, category and price filters, pagination</t>
  </si>
  <si>
    <t>What is in this workbook</t>
  </si>
  <si>
    <t>One row per user story - the story, its acceptance criteria, priority, size, owner, risk and the sprint that owns it. Tasks / Est / Actual / Remain / Progress are formulas rolled up from WBS on Story ID.</t>
  </si>
  <si>
    <t>WBS</t>
  </si>
  <si>
    <t>US-22</t>
  </si>
  <si>
    <t>One row per task. A-G are the task itself - story, id, name, owner, estimate, status, note; H-Q are the planning, review and evidence columns D02 asks for: the plan, the actual result, and who contributed what.</t>
  </si>
  <si>
    <t>AI</t>
  </si>
  <si>
    <t>Sprint Summary</t>
  </si>
  <si>
    <t>Read-only roll-up: per sprint and per member. Pick the sprint in cell C2, type each member's real Capacity (h), and the Load column tells you who is over-committed.</t>
  </si>
  <si>
    <t>Master Data</t>
  </si>
  <si>
    <t>As a learner, I want similar-course suggestions so that I discover relevant courses.</t>
  </si>
  <si>
    <t>Every dropdown reads from here, plus the ID formats. Replace the Assignee list with your team; leave Status, Priority, Points, Risk and Type alone.</t>
  </si>
  <si>
    <t>Recommendations from the learner profile/history; shown on course and home pages.</t>
  </si>
  <si>
    <t>IDs</t>
  </si>
  <si>
    <t>US- plus two digits (US-01). Lives on the Backlog sheet; the WBS Story ID column is a dropdown of those IDs.</t>
  </si>
  <si>
    <t>T-102</t>
  </si>
  <si>
    <t>Course list screen with filter bar</t>
  </si>
  <si>
    <t>T- plus the story number plus a task number: T-011 is task 1 of US-01, T-023 is task 3 of US-02. Unique across the project - the sprint review record and your commit messages refer to it.</t>
  </si>
  <si>
    <t>Just the name, no ID in it: 'Double-booking check API'.</t>
  </si>
  <si>
    <t>First name plus the initials of the remaining parts - Alex De Fleu becomes AlexDF.</t>
  </si>
  <si>
    <t>Filling it in</t>
  </si>
  <si>
    <t>Blue text</t>
  </si>
  <si>
    <t>A formula. Typing over one breaks the roll-up - everything else on Backlog and WBS is yours to fill in.</t>
  </si>
  <si>
    <t>Yellow cells</t>
  </si>
  <si>
    <t>Only on Sprint Summary: Capacity (h), the one thing you type on that sheet.</t>
  </si>
  <si>
    <t>Example rows</t>
  </si>
  <si>
    <t>Backlog rows 2-5 and WBS rows 2-15 are worked examples. Delete every one before you submit.</t>
  </si>
  <si>
    <t>Story &lt;-&gt; task link</t>
  </si>
  <si>
    <t>The roll-up matches WBS Story ID against Backlog Story ID exactly. Use the dropdown; a hand-typed 'US-1' silently shows 0 tasks.</t>
  </si>
  <si>
    <t>One owner per task</t>
  </si>
  <si>
    <t>Assignee takes exactly one name. A task nobody owns counts as missing at gate G1.</t>
  </si>
  <si>
    <t>A formula: 0 once the task is done, otherwise Estimate minus Actual. Sum it per sprint for your burndown.</t>
  </si>
  <si>
    <t>Status - the only four values</t>
  </si>
  <si>
    <t>US-23</t>
  </si>
  <si>
    <t>Planned, not started.</t>
  </si>
  <si>
    <t>T-111</t>
  </si>
  <si>
    <t>Being worked on right now.</t>
  </si>
  <si>
    <t>Course detail API: description, curriculum, price, rating</t>
  </si>
  <si>
    <t>Merged into the default branch and working.</t>
  </si>
  <si>
    <t>As an instructor, I want AI to generate draft quiz questions from uploaded course materials so that I can prepare quizzes more quickly.</t>
  </si>
  <si>
    <t>Started or planned, then stopped. Not the same as todo - somebody is waiting on something.</t>
  </si>
  <si>
    <t>The system generates draft quiz questions based on the document, the instructor can review and edit the questions before using them.</t>
  </si>
  <si>
    <t>What goes in the Note column</t>
  </si>
  <si>
    <t>Usually empty. Write a note only when it is waiting on something: 'Not started - starts when T-012 is merged'.</t>
  </si>
  <si>
    <t>Always. Name the concrete step, not the status: 'Slot query done; writing the overlap check in AppointmentService'. 'Implementing' says nothing.</t>
  </si>
  <si>
    <t>Empty when it shipped as planned. Add evidence ('Merged in PR #34 with 6 unit tests') or the scope you cut ('Reduced scope - email only; SMS moved to T-034').</t>
  </si>
  <si>
    <t>Always. Why it stopped, since when, and what unblocks it: 'Blocked - no sandbox credentials from the SMS provider yet'. For carry-over, add the hours spent and the branch.</t>
  </si>
  <si>
    <t>Added &lt;YYYY-MM-DD&gt;</t>
  </si>
  <si>
    <t>Required by gate G1 on any task added after the freeze. It goes first in the Note, then the description - and the same change must appear in sprint&lt;N&gt;_review.md as a scope change.</t>
  </si>
  <si>
    <t>Submitting for gate G1</t>
  </si>
  <si>
    <t>1</t>
  </si>
  <si>
    <t>Freeze the backlog before the sprint starts: every task planned, owned and estimated.</t>
  </si>
  <si>
    <t>2</t>
  </si>
  <si>
    <t>Anything added after the freeze carries Added &lt;YYYY-MM-DD&gt; first in its Note, and shows up in sprint&lt;N&gt;_review.md as a scope change.</t>
  </si>
  <si>
    <t>3</t>
  </si>
  <si>
    <t>At the end of the sprint, File &gt; Save a Copy as backlog_sprint&lt;N&gt;.xlsx. One file per sprint - there is no open/close pair.</t>
  </si>
  <si>
    <t>4</t>
  </si>
  <si>
    <t>Upload it to &lt;CLASS&gt;/&lt;TEAM&gt;/Sprint &lt;N&gt;/ on Drive and leave it alone: that copy is the frozen record. The Drive upload time is the submission time - see submission_guide.md.</t>
  </si>
  <si>
    <t>T-112</t>
  </si>
  <si>
    <t>Mark lessons as free preview and serve preview content</t>
  </si>
  <si>
    <t>US-24</t>
  </si>
  <si>
    <t>As an instructor, I want AI to suggest learning outcomes and create a curriculum draft so that I can plan a course more efficiently.</t>
  </si>
  <si>
    <t>The instructor can request suggested learning outcomes for a course, the system generates a curriculum draft based on the available course information.</t>
  </si>
  <si>
    <t>T-113</t>
  </si>
  <si>
    <t>Course landing page screen</t>
  </si>
  <si>
    <t>T-161</t>
  </si>
  <si>
    <t>API: course curriculum for enrolled learner (sections, lessons, current lesson)</t>
  </si>
  <si>
    <t>T-162</t>
  </si>
  <si>
    <t>Player screen layout: video area plus section–lesson sidebar</t>
  </si>
  <si>
    <t>T-191</t>
  </si>
  <si>
    <t>API: list active enrollments with course info and resume target</t>
  </si>
  <si>
    <t>T-192</t>
  </si>
  <si>
    <t>"My Courses" screen</t>
  </si>
  <si>
    <t>T-021</t>
  </si>
  <si>
    <t>Login + session/JWT + role-based authorization + lockout</t>
  </si>
  <si>
    <t>T-022</t>
  </si>
  <si>
    <t>Login screen + error messages</t>
  </si>
  <si>
    <t>T-071</t>
  </si>
  <si>
    <t>Migration and CRUD API for quiz, questions, options, correct answer</t>
  </si>
  <si>
    <t>T-072</t>
  </si>
  <si>
    <t>Instructor quiz builder screen</t>
  </si>
  <si>
    <t>Capacity (h) is the only cell you type here: the hours that member really has in the sprint. Load over 100% means the sprint is over-committed - move a task out before the sprint starts, not on the last day.</t>
  </si>
  <si>
    <t>T-201</t>
  </si>
  <si>
    <t>Quiz attempt API: submit answers, auto-grade, persist attempt</t>
  </si>
  <si>
    <t>T-202</t>
  </si>
  <si>
    <t>Quiz-taking screen with score and per-question result</t>
  </si>
  <si>
    <t>T-131</t>
  </si>
  <si>
    <t>Build signed payment request and redirect to payos</t>
  </si>
  <si>
    <t>T-132</t>
  </si>
  <si>
    <t>Buy button and payment-result screen reading order status</t>
  </si>
  <si>
    <t>T-141</t>
  </si>
  <si>
    <t>IPN endpoint: verify gateway signature, update order status</t>
  </si>
  <si>
    <t>T-142</t>
  </si>
  <si>
    <t>Create enrollment on successful payment</t>
  </si>
  <si>
    <t>T-151</t>
  </si>
  <si>
    <t>Generate short-lived HMAC-signed URL</t>
  </si>
  <si>
    <t>T-152</t>
  </si>
  <si>
    <t>Two-phase delivery endpoint and wrire player to fetch signed url</t>
  </si>
  <si>
    <t>T-171</t>
  </si>
  <si>
    <t>Heartbeat API: merge incoming bits with bitwise OR, save last position</t>
  </si>
  <si>
    <t>T-172</t>
  </si>
  <si>
    <t>Mark lesson complete at ≥90% coverage; compute course completion %</t>
  </si>
  <si>
    <t>T-091</t>
  </si>
  <si>
    <t>API: summarize paid revenue by instructor and course</t>
  </si>
  <si>
    <t>T-092</t>
  </si>
  <si>
    <t>Instructor revenue dashboard and transaction list</t>
  </si>
  <si>
    <t>T-181</t>
  </si>
  <si>
    <t>Review API: eligibility, create/update, and rating summary</t>
  </si>
  <si>
    <t>T-182</t>
  </si>
  <si>
    <t>Learner review form and course/instructor review views</t>
  </si>
  <si>
    <t>T-211</t>
  </si>
  <si>
    <t>Q&amp;A API: lesson questions, answers, and course permissions</t>
  </si>
  <si>
    <t>T-212</t>
  </si>
  <si>
    <t>Learner lesson Q&amp;A and instructor questions/reply screen</t>
  </si>
  <si>
    <t>T-221</t>
  </si>
  <si>
    <t>Recommendation API: continuous and Gemini suggestions</t>
  </si>
  <si>
    <t>T-222</t>
  </si>
  <si>
    <t>-Learner recommendation sections and AI advisor UI</t>
  </si>
  <si>
    <t>T-241</t>
  </si>
  <si>
    <t>Outcome suggestions and curriculum draft API</t>
  </si>
  <si>
    <t>T-242</t>
  </si>
  <si>
    <t>Review and apply AI curriculum draft in authoring flow</t>
  </si>
  <si>
    <t>T-231</t>
  </si>
  <si>
    <t>Generate quiz draft from supported course documents</t>
  </si>
  <si>
    <t>T-232</t>
  </si>
  <si>
    <t>- Review, edit, and apply AI quiz draft in quiz authoring</t>
  </si>
  <si>
    <t>Blue text = a formula rolled up from WBS on Story ID - do not type over it. Rows 2 to 5 are worked examples - delete them before you submit.</t>
  </si>
  <si>
    <t>A-G are the task itself; H-Q are the planning, review and evidence columns. At the end of the sprint save the whole workbook as backlog_sprint&lt;N&gt;.xlsx - that one file is the sprint record (gate G1). Rows 2 to 15 are worked examples - delete them before you submit.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</si>
</sst>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1.0"/>
      <color theme="1"/>
      <name val="Calibri"/>
      <scheme val="minor"/>
    </font>
    <font>
      <b/>
      <sz val="14.0"/>
      <color rgb="FF1F3864"/>
      <name val="Arial"/>
    </font>
    <font>
      <b/>
      <sz val="12.0"/>
      <color rgb="FFFFFFFF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2.0"/>
      <color rgb="FF3F3F3F"/>
      <name val="Arial"/>
    </font>
    <font>
      <sz val="12.0"/>
      <color rgb="FF1F3864"/>
      <name val="Arial"/>
    </font>
    <font>
      <b/>
      <sz val="12.0"/>
      <color rgb="FF006100"/>
      <name val="Arial"/>
    </font>
    <font>
      <sz val="11.0"/>
      <color theme="1"/>
      <name val="Calibri"/>
    </font>
    <font>
      <b/>
      <sz val="12.0"/>
      <color rgb="FF9C57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DE7"/>
        <bgColor rgb="FFFFFDE7"/>
      </patternFill>
    </fill>
    <fill>
      <patternFill patternType="solid">
        <fgColor rgb="FFE7E6E6"/>
        <bgColor rgb="FFE7E6E6"/>
      </patternFill>
    </fill>
    <fill>
      <patternFill patternType="solid">
        <fgColor rgb="FFEAF1F8"/>
        <bgColor rgb="FFEAF1F8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wrapText="1"/>
    </xf>
    <xf borderId="0" fillId="0" fontId="3" numFmtId="0" xfId="0" applyFont="1"/>
    <xf borderId="0" fillId="0" fontId="4" numFmtId="0" xfId="0" applyFont="1"/>
    <xf borderId="1" fillId="3" fontId="3" numFmtId="0" xfId="0" applyAlignment="1" applyBorder="1" applyFill="1" applyFont="1">
      <alignment horizontal="center" vertical="top"/>
    </xf>
    <xf borderId="1" fillId="0" fontId="3" numFmtId="0" xfId="0" applyAlignment="1" applyBorder="1" applyFont="1">
      <alignment horizontal="center" readingOrder="0" shrinkToFit="0" vertical="top" wrapText="0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readingOrder="0" shrinkToFit="0" vertical="top" wrapText="1"/>
    </xf>
    <xf borderId="1" fillId="0" fontId="3" numFmtId="1" xfId="0" applyAlignment="1" applyBorder="1" applyFont="1" applyNumberFormat="1">
      <alignment horizontal="center" readingOrder="0" shrinkToFit="0" vertical="top" wrapText="0"/>
    </xf>
    <xf borderId="1" fillId="0" fontId="3" numFmtId="0" xfId="0" applyAlignment="1" applyBorder="1" applyFont="1">
      <alignment vertical="top"/>
    </xf>
    <xf borderId="1" fillId="4" fontId="5" numFmtId="0" xfId="0" applyAlignment="1" applyBorder="1" applyFill="1" applyFont="1">
      <alignment horizontal="center" readingOrder="0" shrinkToFit="0" vertical="top" wrapText="0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readingOrder="0" vertical="top"/>
    </xf>
    <xf borderId="1" fillId="5" fontId="6" numFmtId="1" xfId="0" applyAlignment="1" applyBorder="1" applyFill="1" applyFont="1" applyNumberFormat="1">
      <alignment horizontal="center" vertical="top"/>
    </xf>
    <xf borderId="1" fillId="0" fontId="3" numFmtId="0" xfId="0" applyAlignment="1" applyBorder="1" applyFont="1">
      <alignment vertical="top"/>
    </xf>
    <xf borderId="1" fillId="0" fontId="3" numFmtId="1" xfId="0" applyAlignment="1" applyBorder="1" applyFont="1" applyNumberFormat="1">
      <alignment vertical="top"/>
    </xf>
    <xf borderId="1" fillId="0" fontId="6" numFmtId="1" xfId="0" applyAlignment="1" applyBorder="1" applyFont="1" applyNumberFormat="1">
      <alignment horizontal="center" vertical="top"/>
    </xf>
    <xf borderId="1" fillId="6" fontId="7" numFmtId="0" xfId="0" applyAlignment="1" applyBorder="1" applyFill="1" applyFont="1">
      <alignment horizontal="center" vertical="top"/>
    </xf>
    <xf borderId="1" fillId="0" fontId="6" numFmtId="9" xfId="0" applyAlignment="1" applyBorder="1" applyFont="1" applyNumberFormat="1">
      <alignment horizontal="center" vertical="top"/>
    </xf>
    <xf borderId="1" fillId="0" fontId="3" numFmtId="0" xfId="0" applyAlignment="1" applyBorder="1" applyFont="1">
      <alignment shrinkToFit="0" vertical="top" wrapText="1"/>
    </xf>
    <xf borderId="1" fillId="0" fontId="3" numFmtId="164" xfId="0" applyAlignment="1" applyBorder="1" applyFont="1" applyNumberFormat="1">
      <alignment vertical="top"/>
    </xf>
    <xf borderId="1" fillId="0" fontId="3" numFmtId="164" xfId="0" applyAlignment="1" applyBorder="1" applyFont="1" applyNumberFormat="1">
      <alignment horizontal="center" vertical="top"/>
    </xf>
    <xf borderId="1" fillId="0" fontId="3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1"/>
    </xf>
    <xf borderId="1" fillId="5" fontId="6" numFmtId="9" xfId="0" applyAlignment="1" applyBorder="1" applyFill="1" applyFont="1" applyNumberFormat="1">
      <alignment horizontal="center" vertical="top"/>
    </xf>
    <xf borderId="1" fillId="6" fontId="7" numFmtId="0" xfId="0" applyAlignment="1" applyBorder="1" applyFill="1" applyFont="1">
      <alignment horizontal="center" vertical="top"/>
    </xf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top"/>
    </xf>
    <xf borderId="0" fillId="0" fontId="3" numFmtId="0" xfId="0" applyAlignment="1" applyFont="1">
      <alignment vertical="bottom"/>
    </xf>
    <xf borderId="1" fillId="0" fontId="3" numFmtId="1" xfId="0" applyAlignment="1" applyBorder="1" applyFont="1" applyNumberFormat="1">
      <alignment horizontal="center" vertical="top"/>
    </xf>
    <xf borderId="1" fillId="0" fontId="3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3" fontId="3" numFmtId="1" xfId="0" applyAlignment="1" applyBorder="1" applyFill="1" applyFont="1" applyNumberFormat="1">
      <alignment horizontal="center" vertical="top"/>
    </xf>
    <xf borderId="0" fillId="0" fontId="4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1" fillId="0" fontId="3" numFmtId="0" xfId="0" applyAlignment="1" applyBorder="1" applyFont="1">
      <alignment horizontal="left" readingOrder="0" shrinkToFit="0" vertical="top" wrapText="0"/>
    </xf>
    <xf borderId="1" fillId="0" fontId="3" numFmtId="0" xfId="0" applyAlignment="1" applyBorder="1" applyFont="1">
      <alignment horizontal="center" shrinkToFit="0" vertical="top" wrapText="1"/>
    </xf>
    <xf borderId="1" fillId="0" fontId="8" numFmtId="1" xfId="0" applyAlignment="1" applyBorder="1" applyFont="1" applyNumberFormat="1">
      <alignment vertical="top"/>
    </xf>
    <xf borderId="1" fillId="7" fontId="9" numFmtId="0" xfId="0" applyAlignment="1" applyBorder="1" applyFill="1" applyFont="1">
      <alignment horizontal="center" readingOrder="0" vertical="top"/>
    </xf>
    <xf borderId="1" fillId="0" fontId="8" numFmtId="0" xfId="0" applyAlignment="1" applyBorder="1" applyFont="1">
      <alignment vertical="top"/>
    </xf>
    <xf borderId="1" fillId="0" fontId="8" numFmtId="164" xfId="0" applyAlignment="1" applyBorder="1" applyFont="1" applyNumberFormat="1">
      <alignment vertical="top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4">
    <dxf>
      <font>
        <b/>
        <sz val="12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12.0"/>
        <color rgb="FF9C5700"/>
        <name val="Arial"/>
      </font>
      <fill>
        <patternFill patternType="solid">
          <fgColor rgb="FFFFEB9C"/>
          <bgColor rgb="FFFFEB9C"/>
        </patternFill>
      </fill>
      <border/>
    </dxf>
    <dxf>
      <font>
        <b/>
        <sz val="12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sz val="12.0"/>
        <color rgb="FF3F3F3F"/>
        <name val="Arial"/>
      </font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3.29"/>
    <col customWidth="1" min="2" max="2" width="20.29"/>
    <col customWidth="1" min="3" max="3" width="12.29"/>
    <col customWidth="1" min="4" max="4" width="76.0"/>
    <col customWidth="1" min="5" max="5" width="59.57"/>
    <col customWidth="1" min="6" max="6" width="10.14"/>
    <col customWidth="1" min="7" max="7" width="9.0"/>
    <col customWidth="1" min="8" max="8" width="11.14"/>
    <col customWidth="1" min="9" max="9" width="13.43"/>
    <col customWidth="1" min="10" max="10" width="18.29"/>
    <col customWidth="1" min="11" max="11" width="13.43"/>
    <col customWidth="1" min="12" max="12" width="9.0"/>
    <col customWidth="1" min="13" max="13" width="7.86"/>
    <col customWidth="1" min="14" max="14" width="9.0"/>
    <col customWidth="1" min="15" max="18" width="10.14"/>
    <col customWidth="1" min="19" max="19" width="38.14"/>
    <col customWidth="1" min="20" max="26" width="8.71"/>
  </cols>
  <sheetData>
    <row r="1" ht="37.5" customHeight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9</v>
      </c>
      <c r="G1" s="2" t="s">
        <v>12</v>
      </c>
      <c r="H1" s="2" t="s">
        <v>15</v>
      </c>
      <c r="I1" s="2" t="s">
        <v>10</v>
      </c>
      <c r="J1" s="2" t="s">
        <v>18</v>
      </c>
      <c r="K1" s="2" t="s">
        <v>19</v>
      </c>
      <c r="L1" s="2" t="s">
        <v>20</v>
      </c>
      <c r="M1" s="2" t="s">
        <v>22</v>
      </c>
      <c r="N1" s="2" t="s">
        <v>24</v>
      </c>
      <c r="O1" s="2" t="s">
        <v>25</v>
      </c>
      <c r="P1" s="2" t="s">
        <v>27</v>
      </c>
      <c r="Q1" s="2" t="s">
        <v>28</v>
      </c>
      <c r="R1" s="2" t="s">
        <v>30</v>
      </c>
      <c r="S1" s="2" t="s">
        <v>21</v>
      </c>
    </row>
    <row r="2">
      <c r="A2" s="7" t="s">
        <v>34</v>
      </c>
      <c r="B2" s="8" t="s">
        <v>36</v>
      </c>
      <c r="C2" s="9"/>
      <c r="D2" s="10" t="s">
        <v>43</v>
      </c>
      <c r="E2" s="10" t="s">
        <v>47</v>
      </c>
      <c r="F2" s="7" t="s">
        <v>51</v>
      </c>
      <c r="G2" s="11">
        <v>8.0</v>
      </c>
      <c r="H2" s="7" t="s">
        <v>52</v>
      </c>
      <c r="I2" s="13" t="s">
        <v>38</v>
      </c>
      <c r="J2" s="15" t="s">
        <v>58</v>
      </c>
      <c r="K2" s="17"/>
      <c r="L2" s="9"/>
      <c r="M2" s="19"/>
      <c r="N2" s="19"/>
      <c r="O2" s="19"/>
      <c r="P2" s="19"/>
      <c r="Q2" s="21"/>
      <c r="R2" s="9" t="s">
        <v>65</v>
      </c>
      <c r="S2" s="22"/>
    </row>
    <row r="3">
      <c r="A3" s="7" t="s">
        <v>67</v>
      </c>
      <c r="B3" s="8" t="s">
        <v>36</v>
      </c>
      <c r="C3" s="9"/>
      <c r="D3" s="10" t="s">
        <v>69</v>
      </c>
      <c r="E3" s="10" t="s">
        <v>70</v>
      </c>
      <c r="F3" s="7" t="s">
        <v>51</v>
      </c>
      <c r="G3" s="11">
        <v>8.0</v>
      </c>
      <c r="H3" s="7" t="s">
        <v>72</v>
      </c>
      <c r="I3" s="13" t="s">
        <v>38</v>
      </c>
      <c r="J3" s="15" t="s">
        <v>58</v>
      </c>
      <c r="K3" s="25" t="s">
        <v>34</v>
      </c>
      <c r="L3" s="9"/>
      <c r="M3" s="19"/>
      <c r="N3" s="19"/>
      <c r="O3" s="19"/>
      <c r="P3" s="19"/>
      <c r="Q3" s="21"/>
      <c r="R3" s="9" t="s">
        <v>65</v>
      </c>
      <c r="S3" s="22"/>
    </row>
    <row r="4">
      <c r="A4" s="7" t="s">
        <v>77</v>
      </c>
      <c r="B4" s="8" t="s">
        <v>36</v>
      </c>
      <c r="C4" s="9"/>
      <c r="D4" s="10" t="s">
        <v>81</v>
      </c>
      <c r="E4" s="10" t="s">
        <v>82</v>
      </c>
      <c r="F4" s="7" t="s">
        <v>84</v>
      </c>
      <c r="G4" s="11">
        <v>5.0</v>
      </c>
      <c r="H4" s="7" t="s">
        <v>88</v>
      </c>
      <c r="I4" s="13" t="s">
        <v>42</v>
      </c>
      <c r="J4" s="15" t="s">
        <v>58</v>
      </c>
      <c r="K4" s="25" t="s">
        <v>34</v>
      </c>
      <c r="L4" s="9"/>
      <c r="M4" s="19"/>
      <c r="N4" s="19"/>
      <c r="O4" s="19"/>
      <c r="P4" s="19"/>
      <c r="Q4" s="21"/>
      <c r="R4" s="9" t="s">
        <v>65</v>
      </c>
      <c r="S4" s="22"/>
    </row>
    <row r="5">
      <c r="A5" s="7" t="s">
        <v>91</v>
      </c>
      <c r="B5" s="8" t="s">
        <v>36</v>
      </c>
      <c r="C5" s="9"/>
      <c r="D5" s="10" t="s">
        <v>94</v>
      </c>
      <c r="E5" s="10" t="s">
        <v>96</v>
      </c>
      <c r="F5" s="7" t="s">
        <v>84</v>
      </c>
      <c r="G5" s="11">
        <v>5.0</v>
      </c>
      <c r="H5" s="7" t="s">
        <v>23</v>
      </c>
      <c r="I5" s="13" t="s">
        <v>38</v>
      </c>
      <c r="J5" s="15" t="s">
        <v>58</v>
      </c>
      <c r="K5" s="25" t="s">
        <v>67</v>
      </c>
      <c r="L5" s="9"/>
      <c r="M5" s="19"/>
      <c r="N5" s="19"/>
      <c r="O5" s="19"/>
      <c r="P5" s="19"/>
      <c r="Q5" s="21"/>
      <c r="R5" s="9" t="s">
        <v>65</v>
      </c>
      <c r="S5" s="22"/>
    </row>
    <row r="6">
      <c r="A6" s="7" t="s">
        <v>102</v>
      </c>
      <c r="B6" s="8" t="s">
        <v>104</v>
      </c>
      <c r="C6" s="9"/>
      <c r="D6" s="10" t="s">
        <v>105</v>
      </c>
      <c r="E6" s="10" t="s">
        <v>107</v>
      </c>
      <c r="F6" s="7" t="s">
        <v>51</v>
      </c>
      <c r="G6" s="11">
        <v>8.0</v>
      </c>
      <c r="H6" s="7" t="s">
        <v>23</v>
      </c>
      <c r="I6" s="13" t="s">
        <v>38</v>
      </c>
      <c r="J6" s="15" t="s">
        <v>60</v>
      </c>
      <c r="K6" s="25" t="s">
        <v>34</v>
      </c>
      <c r="L6" s="9"/>
      <c r="M6" s="19"/>
      <c r="N6" s="19"/>
      <c r="O6" s="19"/>
      <c r="P6" s="19"/>
      <c r="Q6" s="21"/>
      <c r="R6" s="9" t="s">
        <v>65</v>
      </c>
      <c r="S6" s="22"/>
    </row>
    <row r="7">
      <c r="A7" s="7" t="s">
        <v>118</v>
      </c>
      <c r="B7" s="8" t="s">
        <v>104</v>
      </c>
      <c r="C7" s="9"/>
      <c r="D7" s="10" t="s">
        <v>121</v>
      </c>
      <c r="E7" s="10" t="s">
        <v>122</v>
      </c>
      <c r="F7" s="7" t="s">
        <v>51</v>
      </c>
      <c r="G7" s="11">
        <v>13.0</v>
      </c>
      <c r="H7" s="7" t="s">
        <v>23</v>
      </c>
      <c r="I7" s="13" t="s">
        <v>38</v>
      </c>
      <c r="J7" s="15" t="s">
        <v>60</v>
      </c>
      <c r="K7" s="25" t="s">
        <v>102</v>
      </c>
      <c r="L7" s="9"/>
      <c r="M7" s="19"/>
      <c r="N7" s="19"/>
      <c r="O7" s="19"/>
      <c r="P7" s="19"/>
      <c r="Q7" s="21"/>
      <c r="R7" s="9" t="s">
        <v>65</v>
      </c>
      <c r="S7" s="22"/>
    </row>
    <row r="8">
      <c r="A8" s="7" t="s">
        <v>134</v>
      </c>
      <c r="B8" s="8" t="s">
        <v>135</v>
      </c>
      <c r="C8" s="9"/>
      <c r="D8" s="10" t="s">
        <v>138</v>
      </c>
      <c r="E8" s="10" t="s">
        <v>140</v>
      </c>
      <c r="F8" s="7" t="s">
        <v>84</v>
      </c>
      <c r="G8" s="11">
        <v>5.0</v>
      </c>
      <c r="H8" s="7" t="s">
        <v>72</v>
      </c>
      <c r="I8" s="13" t="s">
        <v>38</v>
      </c>
      <c r="J8" s="15" t="s">
        <v>58</v>
      </c>
      <c r="K8" s="25" t="s">
        <v>118</v>
      </c>
      <c r="L8" s="9"/>
      <c r="M8" s="19"/>
      <c r="N8" s="19"/>
      <c r="O8" s="19"/>
      <c r="P8" s="19"/>
      <c r="Q8" s="21"/>
      <c r="R8" s="9" t="s">
        <v>65</v>
      </c>
      <c r="S8" s="22"/>
    </row>
    <row r="9">
      <c r="A9" s="7" t="s">
        <v>153</v>
      </c>
      <c r="B9" s="8" t="s">
        <v>155</v>
      </c>
      <c r="C9" s="9"/>
      <c r="D9" s="10" t="s">
        <v>157</v>
      </c>
      <c r="E9" s="10" t="s">
        <v>159</v>
      </c>
      <c r="F9" s="7" t="s">
        <v>84</v>
      </c>
      <c r="G9" s="11">
        <v>3.0</v>
      </c>
      <c r="H9" s="7" t="s">
        <v>23</v>
      </c>
      <c r="I9" s="13" t="s">
        <v>38</v>
      </c>
      <c r="J9" s="15" t="s">
        <v>58</v>
      </c>
      <c r="K9" s="25" t="s">
        <v>102</v>
      </c>
      <c r="L9" s="9"/>
      <c r="M9" s="19"/>
      <c r="N9" s="19"/>
      <c r="O9" s="19"/>
      <c r="P9" s="19"/>
      <c r="Q9" s="21"/>
      <c r="R9" s="9" t="s">
        <v>65</v>
      </c>
      <c r="S9" s="22"/>
    </row>
    <row r="10">
      <c r="A10" s="7" t="s">
        <v>165</v>
      </c>
      <c r="B10" s="8" t="s">
        <v>155</v>
      </c>
      <c r="C10" s="9"/>
      <c r="D10" s="10" t="s">
        <v>166</v>
      </c>
      <c r="E10" s="10" t="s">
        <v>167</v>
      </c>
      <c r="F10" s="7" t="s">
        <v>116</v>
      </c>
      <c r="G10" s="11">
        <v>5.0</v>
      </c>
      <c r="H10" s="7" t="s">
        <v>88</v>
      </c>
      <c r="I10" s="13" t="s">
        <v>38</v>
      </c>
      <c r="J10" s="15" t="s">
        <v>60</v>
      </c>
      <c r="K10" s="25" t="s">
        <v>170</v>
      </c>
      <c r="L10" s="9"/>
      <c r="M10" s="19"/>
      <c r="N10" s="19"/>
      <c r="O10" s="19"/>
      <c r="P10" s="19"/>
      <c r="Q10" s="21"/>
      <c r="R10" s="9" t="s">
        <v>65</v>
      </c>
      <c r="S10" s="22"/>
    </row>
    <row r="11">
      <c r="A11" s="7" t="s">
        <v>171</v>
      </c>
      <c r="B11" s="8" t="s">
        <v>172</v>
      </c>
      <c r="C11" s="9"/>
      <c r="D11" s="10" t="s">
        <v>173</v>
      </c>
      <c r="E11" s="10" t="s">
        <v>174</v>
      </c>
      <c r="F11" s="7" t="s">
        <v>84</v>
      </c>
      <c r="G11" s="11">
        <v>5.0</v>
      </c>
      <c r="H11" s="7" t="s">
        <v>23</v>
      </c>
      <c r="I11" s="13" t="s">
        <v>38</v>
      </c>
      <c r="J11" s="15" t="s">
        <v>89</v>
      </c>
      <c r="K11" s="25" t="s">
        <v>102</v>
      </c>
      <c r="L11" s="9"/>
      <c r="M11" s="19"/>
      <c r="N11" s="19"/>
      <c r="O11" s="19"/>
      <c r="P11" s="19"/>
      <c r="Q11" s="21"/>
      <c r="R11" s="9" t="s">
        <v>65</v>
      </c>
      <c r="S11" s="22"/>
    </row>
    <row r="12">
      <c r="A12" s="7" t="s">
        <v>176</v>
      </c>
      <c r="B12" s="8" t="s">
        <v>172</v>
      </c>
      <c r="C12" s="9"/>
      <c r="D12" s="10" t="s">
        <v>178</v>
      </c>
      <c r="E12" s="10" t="s">
        <v>179</v>
      </c>
      <c r="F12" s="7" t="s">
        <v>51</v>
      </c>
      <c r="G12" s="11">
        <v>3.0</v>
      </c>
      <c r="H12" s="7" t="s">
        <v>23</v>
      </c>
      <c r="I12" s="13" t="s">
        <v>38</v>
      </c>
      <c r="J12" s="15" t="s">
        <v>89</v>
      </c>
      <c r="K12" s="25" t="s">
        <v>102</v>
      </c>
      <c r="L12" s="9"/>
      <c r="M12" s="19"/>
      <c r="N12" s="19"/>
      <c r="O12" s="19"/>
      <c r="P12" s="19"/>
      <c r="Q12" s="21"/>
      <c r="R12" s="9" t="s">
        <v>65</v>
      </c>
      <c r="S12" s="22"/>
    </row>
    <row r="13">
      <c r="A13" s="7" t="s">
        <v>180</v>
      </c>
      <c r="B13" s="8" t="s">
        <v>181</v>
      </c>
      <c r="C13" s="9"/>
      <c r="D13" s="10" t="s">
        <v>182</v>
      </c>
      <c r="E13" s="10" t="s">
        <v>183</v>
      </c>
      <c r="F13" s="7" t="s">
        <v>51</v>
      </c>
      <c r="G13" s="11">
        <v>8.0</v>
      </c>
      <c r="H13" s="7" t="s">
        <v>72</v>
      </c>
      <c r="I13" s="13" t="s">
        <v>38</v>
      </c>
      <c r="J13" s="15" t="s">
        <v>89</v>
      </c>
      <c r="K13" s="25" t="s">
        <v>176</v>
      </c>
      <c r="L13" s="9"/>
      <c r="M13" s="19"/>
      <c r="N13" s="19"/>
      <c r="O13" s="19"/>
      <c r="P13" s="19"/>
      <c r="Q13" s="21"/>
      <c r="R13" s="9" t="s">
        <v>65</v>
      </c>
      <c r="S13" s="22"/>
    </row>
    <row r="14">
      <c r="A14" s="7" t="s">
        <v>170</v>
      </c>
      <c r="B14" s="8" t="s">
        <v>181</v>
      </c>
      <c r="C14" s="9"/>
      <c r="D14" s="10" t="s">
        <v>186</v>
      </c>
      <c r="E14" s="10" t="s">
        <v>187</v>
      </c>
      <c r="F14" s="7" t="s">
        <v>51</v>
      </c>
      <c r="G14" s="11">
        <v>8.0</v>
      </c>
      <c r="H14" s="7" t="s">
        <v>72</v>
      </c>
      <c r="I14" s="13" t="s">
        <v>38</v>
      </c>
      <c r="J14" s="15" t="s">
        <v>89</v>
      </c>
      <c r="K14" s="25" t="s">
        <v>180</v>
      </c>
      <c r="L14" s="9"/>
      <c r="M14" s="19"/>
      <c r="N14" s="19"/>
      <c r="O14" s="19"/>
      <c r="P14" s="19"/>
      <c r="Q14" s="21"/>
      <c r="R14" s="9" t="s">
        <v>65</v>
      </c>
      <c r="S14" s="22"/>
    </row>
    <row r="15">
      <c r="A15" s="7" t="s">
        <v>188</v>
      </c>
      <c r="B15" s="8" t="s">
        <v>189</v>
      </c>
      <c r="C15" s="9"/>
      <c r="D15" s="10" t="s">
        <v>190</v>
      </c>
      <c r="E15" s="10" t="s">
        <v>191</v>
      </c>
      <c r="F15" s="7" t="s">
        <v>51</v>
      </c>
      <c r="G15" s="11">
        <v>13.0</v>
      </c>
      <c r="H15" s="7" t="s">
        <v>72</v>
      </c>
      <c r="I15" s="13" t="s">
        <v>38</v>
      </c>
      <c r="J15" s="15" t="s">
        <v>60</v>
      </c>
      <c r="K15" s="25" t="s">
        <v>170</v>
      </c>
      <c r="L15" s="9"/>
      <c r="M15" s="19"/>
      <c r="N15" s="19"/>
      <c r="O15" s="19"/>
      <c r="P15" s="19"/>
      <c r="Q15" s="21"/>
      <c r="R15" s="9" t="s">
        <v>65</v>
      </c>
      <c r="S15" s="22"/>
    </row>
    <row r="16">
      <c r="A16" s="7" t="s">
        <v>194</v>
      </c>
      <c r="B16" s="8" t="s">
        <v>195</v>
      </c>
      <c r="C16" s="9"/>
      <c r="D16" s="10" t="s">
        <v>196</v>
      </c>
      <c r="E16" s="10" t="s">
        <v>197</v>
      </c>
      <c r="F16" s="7" t="s">
        <v>51</v>
      </c>
      <c r="G16" s="11">
        <v>5.0</v>
      </c>
      <c r="H16" s="7" t="s">
        <v>23</v>
      </c>
      <c r="I16" s="13" t="s">
        <v>38</v>
      </c>
      <c r="J16" s="15" t="s">
        <v>58</v>
      </c>
      <c r="K16" s="25" t="s">
        <v>188</v>
      </c>
      <c r="L16" s="9"/>
      <c r="M16" s="19"/>
      <c r="N16" s="19"/>
      <c r="O16" s="19"/>
      <c r="P16" s="19"/>
      <c r="Q16" s="21"/>
      <c r="R16" s="9" t="s">
        <v>65</v>
      </c>
      <c r="S16" s="22"/>
    </row>
    <row r="17" ht="54.0" customHeight="1">
      <c r="A17" s="7" t="s">
        <v>200</v>
      </c>
      <c r="B17" s="8" t="s">
        <v>28</v>
      </c>
      <c r="C17" s="9"/>
      <c r="D17" s="10" t="s">
        <v>201</v>
      </c>
      <c r="E17" s="10" t="s">
        <v>203</v>
      </c>
      <c r="F17" s="7" t="s">
        <v>51</v>
      </c>
      <c r="G17" s="11">
        <v>13.0</v>
      </c>
      <c r="H17" s="7" t="s">
        <v>72</v>
      </c>
      <c r="I17" s="13" t="s">
        <v>38</v>
      </c>
      <c r="J17" s="15" t="s">
        <v>60</v>
      </c>
      <c r="K17" s="25" t="s">
        <v>194</v>
      </c>
      <c r="L17" s="9"/>
      <c r="M17" s="19"/>
      <c r="N17" s="19"/>
      <c r="O17" s="19"/>
      <c r="P17" s="19"/>
      <c r="Q17" s="21"/>
      <c r="R17" s="9" t="s">
        <v>65</v>
      </c>
      <c r="S17" s="22"/>
    </row>
    <row r="18">
      <c r="A18" s="7" t="s">
        <v>207</v>
      </c>
      <c r="B18" s="8" t="s">
        <v>208</v>
      </c>
      <c r="C18" s="9"/>
      <c r="D18" s="10" t="s">
        <v>210</v>
      </c>
      <c r="E18" s="10" t="s">
        <v>212</v>
      </c>
      <c r="F18" s="7" t="s">
        <v>116</v>
      </c>
      <c r="G18" s="11">
        <v>3.0</v>
      </c>
      <c r="H18" s="7" t="s">
        <v>88</v>
      </c>
      <c r="I18" s="13" t="s">
        <v>38</v>
      </c>
      <c r="J18" s="15" t="s">
        <v>89</v>
      </c>
      <c r="K18" s="25" t="s">
        <v>194</v>
      </c>
      <c r="L18" s="9"/>
      <c r="M18" s="19"/>
      <c r="N18" s="19"/>
      <c r="O18" s="19"/>
      <c r="P18" s="19"/>
      <c r="Q18" s="21"/>
      <c r="R18" s="9" t="s">
        <v>65</v>
      </c>
      <c r="S18" s="22"/>
    </row>
    <row r="19">
      <c r="A19" s="7" t="s">
        <v>216</v>
      </c>
      <c r="B19" s="8" t="s">
        <v>195</v>
      </c>
      <c r="C19" s="9"/>
      <c r="D19" s="10" t="s">
        <v>218</v>
      </c>
      <c r="E19" s="10" t="s">
        <v>219</v>
      </c>
      <c r="F19" s="7" t="s">
        <v>84</v>
      </c>
      <c r="G19" s="11">
        <v>2.0</v>
      </c>
      <c r="H19" s="7" t="s">
        <v>23</v>
      </c>
      <c r="I19" s="13" t="s">
        <v>38</v>
      </c>
      <c r="J19" s="15" t="s">
        <v>60</v>
      </c>
      <c r="K19" s="25" t="s">
        <v>170</v>
      </c>
      <c r="L19" s="9"/>
      <c r="M19" s="19"/>
      <c r="N19" s="19"/>
      <c r="O19" s="19"/>
      <c r="P19" s="19"/>
      <c r="Q19" s="21"/>
      <c r="R19" s="9" t="s">
        <v>65</v>
      </c>
      <c r="S19" s="22"/>
    </row>
    <row r="20" ht="15.75" customHeight="1">
      <c r="A20" s="7" t="s">
        <v>222</v>
      </c>
      <c r="B20" s="8" t="s">
        <v>135</v>
      </c>
      <c r="C20" s="9"/>
      <c r="D20" s="10" t="s">
        <v>223</v>
      </c>
      <c r="E20" s="10" t="s">
        <v>224</v>
      </c>
      <c r="F20" s="7" t="s">
        <v>84</v>
      </c>
      <c r="G20" s="11">
        <v>5.0</v>
      </c>
      <c r="H20" s="7" t="s">
        <v>72</v>
      </c>
      <c r="I20" s="13" t="s">
        <v>38</v>
      </c>
      <c r="J20" s="15" t="s">
        <v>58</v>
      </c>
      <c r="K20" s="25" t="s">
        <v>134</v>
      </c>
      <c r="L20" s="9"/>
      <c r="M20" s="19"/>
      <c r="N20" s="19"/>
      <c r="O20" s="19"/>
      <c r="P20" s="19"/>
      <c r="Q20" s="21"/>
      <c r="R20" s="9" t="s">
        <v>65</v>
      </c>
      <c r="S20" s="22"/>
    </row>
    <row r="21" ht="15.75" customHeight="1">
      <c r="A21" s="7" t="s">
        <v>226</v>
      </c>
      <c r="B21" s="8" t="s">
        <v>228</v>
      </c>
      <c r="C21" s="9"/>
      <c r="D21" s="10" t="s">
        <v>229</v>
      </c>
      <c r="E21" s="10" t="s">
        <v>230</v>
      </c>
      <c r="F21" s="7" t="s">
        <v>84</v>
      </c>
      <c r="G21" s="11">
        <v>1.0</v>
      </c>
      <c r="H21" s="7" t="s">
        <v>88</v>
      </c>
      <c r="I21" s="13" t="s">
        <v>38</v>
      </c>
      <c r="J21" s="15" t="s">
        <v>89</v>
      </c>
      <c r="K21" s="25" t="s">
        <v>194</v>
      </c>
      <c r="L21" s="9"/>
      <c r="M21" s="19"/>
      <c r="N21" s="19"/>
      <c r="O21" s="19"/>
      <c r="P21" s="19"/>
      <c r="Q21" s="21"/>
      <c r="R21" s="9" t="s">
        <v>65</v>
      </c>
      <c r="S21" s="22"/>
    </row>
    <row r="22" ht="15.75" customHeight="1">
      <c r="A22" s="7" t="s">
        <v>236</v>
      </c>
      <c r="B22" s="8" t="s">
        <v>238</v>
      </c>
      <c r="C22" s="9"/>
      <c r="D22" s="10" t="s">
        <v>242</v>
      </c>
      <c r="E22" s="10" t="s">
        <v>244</v>
      </c>
      <c r="F22" s="7" t="s">
        <v>84</v>
      </c>
      <c r="G22" s="11">
        <v>8.0</v>
      </c>
      <c r="H22" s="7" t="s">
        <v>88</v>
      </c>
      <c r="I22" s="13" t="s">
        <v>38</v>
      </c>
      <c r="J22" s="15" t="s">
        <v>58</v>
      </c>
      <c r="K22" s="25" t="s">
        <v>176</v>
      </c>
      <c r="L22" s="9"/>
      <c r="M22" s="19"/>
      <c r="N22" s="19"/>
      <c r="O22" s="19"/>
      <c r="P22" s="19"/>
      <c r="Q22" s="21"/>
      <c r="R22" s="9" t="s">
        <v>65</v>
      </c>
      <c r="S22" s="22"/>
    </row>
    <row r="23" ht="15.75" customHeight="1">
      <c r="A23" s="7" t="s">
        <v>265</v>
      </c>
      <c r="B23" s="8" t="s">
        <v>238</v>
      </c>
      <c r="C23" s="9"/>
      <c r="D23" s="10" t="s">
        <v>271</v>
      </c>
      <c r="E23" s="10" t="s">
        <v>273</v>
      </c>
      <c r="F23" s="7" t="s">
        <v>84</v>
      </c>
      <c r="G23" s="11">
        <v>5.0</v>
      </c>
      <c r="H23" s="7" t="s">
        <v>88</v>
      </c>
      <c r="I23" s="13" t="s">
        <v>38</v>
      </c>
      <c r="J23" s="15" t="s">
        <v>60</v>
      </c>
      <c r="K23" s="41" t="s">
        <v>102</v>
      </c>
      <c r="L23" s="9"/>
      <c r="M23" s="19"/>
      <c r="N23" s="19"/>
      <c r="O23" s="19"/>
      <c r="P23" s="19"/>
      <c r="Q23" s="21"/>
      <c r="R23" s="9"/>
      <c r="S23" s="22"/>
    </row>
    <row r="24" ht="15.75" customHeight="1">
      <c r="A24" s="7" t="s">
        <v>292</v>
      </c>
      <c r="B24" s="8" t="s">
        <v>238</v>
      </c>
      <c r="C24" s="9"/>
      <c r="D24" s="10" t="s">
        <v>293</v>
      </c>
      <c r="E24" s="10" t="s">
        <v>294</v>
      </c>
      <c r="F24" s="7" t="s">
        <v>84</v>
      </c>
      <c r="G24" s="11">
        <v>5.0</v>
      </c>
      <c r="H24" s="7" t="s">
        <v>88</v>
      </c>
      <c r="I24" s="13" t="s">
        <v>38</v>
      </c>
      <c r="J24" s="15" t="s">
        <v>60</v>
      </c>
      <c r="K24" s="41" t="s">
        <v>102</v>
      </c>
      <c r="L24" s="9"/>
      <c r="M24" s="19"/>
      <c r="N24" s="19"/>
      <c r="O24" s="19"/>
      <c r="P24" s="19"/>
      <c r="Q24" s="21"/>
      <c r="R24" s="9"/>
      <c r="S24" s="22"/>
    </row>
    <row r="25" ht="15.75" hidden="1" customHeight="1">
      <c r="A25" s="7"/>
      <c r="B25" s="8"/>
      <c r="C25" s="9"/>
      <c r="D25" s="10"/>
      <c r="F25" s="7"/>
      <c r="G25" s="11"/>
      <c r="H25" s="7"/>
      <c r="I25" s="13"/>
      <c r="J25" s="15"/>
      <c r="K25" s="25"/>
      <c r="L25" s="9"/>
      <c r="M25" s="19"/>
      <c r="N25" s="19"/>
      <c r="O25" s="19"/>
      <c r="P25" s="19"/>
      <c r="Q25" s="21"/>
      <c r="R25" s="9"/>
      <c r="S25" s="22"/>
    </row>
    <row r="26" ht="15.75" hidden="1" customHeight="1">
      <c r="A26" s="7"/>
      <c r="B26" s="8"/>
      <c r="C26" s="9"/>
      <c r="D26" s="10"/>
      <c r="E26" s="10"/>
      <c r="F26" s="7"/>
      <c r="G26" s="11"/>
      <c r="H26" s="7"/>
      <c r="I26" s="13"/>
      <c r="J26" s="15"/>
      <c r="K26" s="25"/>
      <c r="L26" s="9"/>
      <c r="M26" s="19"/>
      <c r="N26" s="19"/>
      <c r="O26" s="19"/>
      <c r="P26" s="19"/>
      <c r="Q26" s="21"/>
      <c r="R26" s="9"/>
      <c r="S26" s="22"/>
    </row>
    <row r="27" ht="15.75" hidden="1" customHeight="1">
      <c r="A27" s="9"/>
      <c r="B27" s="22"/>
      <c r="C27" s="9"/>
      <c r="D27" s="22"/>
      <c r="E27" s="22"/>
      <c r="F27" s="9"/>
      <c r="G27" s="35"/>
      <c r="H27" s="9"/>
      <c r="I27" s="9"/>
      <c r="J27" s="17"/>
      <c r="K27" s="17"/>
      <c r="L27" s="9"/>
      <c r="M27" s="19" t="str">
        <f>IF($A27="","",COUNTIF(WBS!$A:$A,$A27))</f>
        <v/>
      </c>
      <c r="N27" s="19" t="str">
        <f>IF($A27="","",SUMIF(WBS!$A:$A,$A27,WBS!$E:$E))</f>
        <v/>
      </c>
      <c r="O27" s="19" t="str">
        <f>IF($A27="","",SUMIF(WBS!$A:$A,$A27,WBS!$L:$L))</f>
        <v/>
      </c>
      <c r="P27" s="19" t="str">
        <f>IF($A27="","",SUMIF(WBS!$A:$A,$A27,WBS!$M:$M))</f>
        <v/>
      </c>
      <c r="Q27" s="21" t="str">
        <f>IF($A27="","",IFERROR(SUMIFS(WBS!$E:$E,WBS!$A:$A,$A27,WBS!$F:$F,"done")/$N27,0))</f>
        <v/>
      </c>
      <c r="R27" s="9"/>
      <c r="S27" s="22"/>
    </row>
    <row r="28" ht="15.75" hidden="1" customHeight="1">
      <c r="A28" s="9"/>
      <c r="B28" s="22"/>
      <c r="C28" s="9"/>
      <c r="D28" s="22"/>
      <c r="E28" s="22"/>
      <c r="F28" s="9"/>
      <c r="G28" s="35"/>
      <c r="H28" s="9"/>
      <c r="I28" s="9"/>
      <c r="J28" s="17"/>
      <c r="K28" s="17"/>
      <c r="L28" s="9"/>
      <c r="M28" s="19" t="str">
        <f>IF($A28="","",COUNTIF(WBS!$A:$A,$A28))</f>
        <v/>
      </c>
      <c r="N28" s="19" t="str">
        <f>IF($A28="","",SUMIF(WBS!$A:$A,$A28,WBS!$E:$E))</f>
        <v/>
      </c>
      <c r="O28" s="19" t="str">
        <f>IF($A28="","",SUMIF(WBS!$A:$A,$A28,WBS!$L:$L))</f>
        <v/>
      </c>
      <c r="P28" s="19" t="str">
        <f>IF($A28="","",SUMIF(WBS!$A:$A,$A28,WBS!$M:$M))</f>
        <v/>
      </c>
      <c r="Q28" s="21" t="str">
        <f>IF($A28="","",IFERROR(SUMIFS(WBS!$E:$E,WBS!$A:$A,$A28,WBS!$F:$F,"done")/$N28,0))</f>
        <v/>
      </c>
      <c r="R28" s="9"/>
      <c r="S28" s="22"/>
    </row>
    <row r="29" ht="15.75" hidden="1" customHeight="1">
      <c r="A29" s="9"/>
      <c r="B29" s="22"/>
      <c r="C29" s="9"/>
      <c r="D29" s="22"/>
      <c r="E29" s="22"/>
      <c r="F29" s="9"/>
      <c r="G29" s="35"/>
      <c r="H29" s="9"/>
      <c r="I29" s="9"/>
      <c r="J29" s="17"/>
      <c r="K29" s="17"/>
      <c r="L29" s="9"/>
      <c r="M29" s="19" t="str">
        <f>IF($A29="","",COUNTIF(WBS!$A:$A,$A29))</f>
        <v/>
      </c>
      <c r="N29" s="19" t="str">
        <f>IF($A29="","",SUMIF(WBS!$A:$A,$A29,WBS!$E:$E))</f>
        <v/>
      </c>
      <c r="O29" s="19" t="str">
        <f>IF($A29="","",SUMIF(WBS!$A:$A,$A29,WBS!$L:$L))</f>
        <v/>
      </c>
      <c r="P29" s="19" t="str">
        <f>IF($A29="","",SUMIF(WBS!$A:$A,$A29,WBS!$M:$M))</f>
        <v/>
      </c>
      <c r="Q29" s="21" t="str">
        <f>IF($A29="","",IFERROR(SUMIFS(WBS!$E:$E,WBS!$A:$A,$A29,WBS!$F:$F,"done")/$N29,0))</f>
        <v/>
      </c>
      <c r="R29" s="9"/>
      <c r="S29" s="22"/>
    </row>
    <row r="30" ht="15.75" hidden="1" customHeight="1">
      <c r="A30" s="9"/>
      <c r="B30" s="22"/>
      <c r="C30" s="9"/>
      <c r="D30" s="22"/>
      <c r="E30" s="22"/>
      <c r="F30" s="9"/>
      <c r="G30" s="35"/>
      <c r="H30" s="9"/>
      <c r="I30" s="9"/>
      <c r="J30" s="17"/>
      <c r="K30" s="17"/>
      <c r="L30" s="9"/>
      <c r="M30" s="19" t="str">
        <f>IF($A30="","",COUNTIF(WBS!$A:$A,$A30))</f>
        <v/>
      </c>
      <c r="N30" s="19" t="str">
        <f>IF($A30="","",SUMIF(WBS!$A:$A,$A30,WBS!$E:$E))</f>
        <v/>
      </c>
      <c r="O30" s="19" t="str">
        <f>IF($A30="","",SUMIF(WBS!$A:$A,$A30,WBS!$L:$L))</f>
        <v/>
      </c>
      <c r="P30" s="19" t="str">
        <f>IF($A30="","",SUMIF(WBS!$A:$A,$A30,WBS!$M:$M))</f>
        <v/>
      </c>
      <c r="Q30" s="21" t="str">
        <f>IF($A30="","",IFERROR(SUMIFS(WBS!$E:$E,WBS!$A:$A,$A30,WBS!$F:$F,"done")/$N30,0))</f>
        <v/>
      </c>
      <c r="R30" s="9"/>
      <c r="S30" s="22"/>
    </row>
    <row r="31" ht="15.75" hidden="1" customHeight="1">
      <c r="A31" s="9"/>
      <c r="B31" s="22"/>
      <c r="C31" s="9"/>
      <c r="D31" s="22"/>
      <c r="E31" s="22"/>
      <c r="F31" s="9"/>
      <c r="G31" s="35"/>
      <c r="H31" s="9"/>
      <c r="I31" s="9"/>
      <c r="J31" s="17"/>
      <c r="K31" s="17"/>
      <c r="L31" s="9"/>
      <c r="M31" s="19" t="str">
        <f>IF($A31="","",COUNTIF(WBS!$A:$A,$A31))</f>
        <v/>
      </c>
      <c r="N31" s="19" t="str">
        <f>IF($A31="","",SUMIF(WBS!$A:$A,$A31,WBS!$E:$E))</f>
        <v/>
      </c>
      <c r="O31" s="19" t="str">
        <f>IF($A31="","",SUMIF(WBS!$A:$A,$A31,WBS!$L:$L))</f>
        <v/>
      </c>
      <c r="P31" s="19" t="str">
        <f>IF($A31="","",SUMIF(WBS!$A:$A,$A31,WBS!$M:$M))</f>
        <v/>
      </c>
      <c r="Q31" s="21" t="str">
        <f>IF($A31="","",IFERROR(SUMIFS(WBS!$E:$E,WBS!$A:$A,$A31,WBS!$F:$F,"done")/$N31,0))</f>
        <v/>
      </c>
      <c r="R31" s="9"/>
      <c r="S31" s="22"/>
    </row>
    <row r="32" ht="15.75" hidden="1" customHeight="1">
      <c r="A32" s="9"/>
      <c r="B32" s="22"/>
      <c r="C32" s="9"/>
      <c r="D32" s="22"/>
      <c r="E32" s="22"/>
      <c r="F32" s="9"/>
      <c r="G32" s="35"/>
      <c r="H32" s="9"/>
      <c r="I32" s="9"/>
      <c r="J32" s="17"/>
      <c r="K32" s="17"/>
      <c r="L32" s="9"/>
      <c r="M32" s="19" t="str">
        <f>IF($A32="","",COUNTIF(WBS!$A:$A,$A32))</f>
        <v/>
      </c>
      <c r="N32" s="19" t="str">
        <f>IF($A32="","",SUMIF(WBS!$A:$A,$A32,WBS!$E:$E))</f>
        <v/>
      </c>
      <c r="O32" s="19" t="str">
        <f>IF($A32="","",SUMIF(WBS!$A:$A,$A32,WBS!$L:$L))</f>
        <v/>
      </c>
      <c r="P32" s="19" t="str">
        <f>IF($A32="","",SUMIF(WBS!$A:$A,$A32,WBS!$M:$M))</f>
        <v/>
      </c>
      <c r="Q32" s="21" t="str">
        <f>IF($A32="","",IFERROR(SUMIFS(WBS!$E:$E,WBS!$A:$A,$A32,WBS!$F:$F,"done")/$N32,0))</f>
        <v/>
      </c>
      <c r="R32" s="9"/>
      <c r="S32" s="22"/>
    </row>
    <row r="33" ht="15.75" hidden="1" customHeight="1">
      <c r="A33" s="9"/>
      <c r="B33" s="22"/>
      <c r="C33" s="9"/>
      <c r="D33" s="22"/>
      <c r="E33" s="22"/>
      <c r="F33" s="9"/>
      <c r="G33" s="35"/>
      <c r="H33" s="9"/>
      <c r="I33" s="9"/>
      <c r="J33" s="17"/>
      <c r="K33" s="17"/>
      <c r="L33" s="9"/>
      <c r="M33" s="19" t="str">
        <f>IF($A33="","",COUNTIF(WBS!$A:$A,$A33))</f>
        <v/>
      </c>
      <c r="N33" s="19" t="str">
        <f>IF($A33="","",SUMIF(WBS!$A:$A,$A33,WBS!$E:$E))</f>
        <v/>
      </c>
      <c r="O33" s="19" t="str">
        <f>IF($A33="","",SUMIF(WBS!$A:$A,$A33,WBS!$L:$L))</f>
        <v/>
      </c>
      <c r="P33" s="19" t="str">
        <f>IF($A33="","",SUMIF(WBS!$A:$A,$A33,WBS!$M:$M))</f>
        <v/>
      </c>
      <c r="Q33" s="21" t="str">
        <f>IF($A33="","",IFERROR(SUMIFS(WBS!$E:$E,WBS!$A:$A,$A33,WBS!$F:$F,"done")/$N33,0))</f>
        <v/>
      </c>
      <c r="R33" s="9"/>
      <c r="S33" s="22"/>
    </row>
    <row r="34" ht="15.75" hidden="1" customHeight="1">
      <c r="A34" s="9"/>
      <c r="B34" s="22"/>
      <c r="C34" s="9"/>
      <c r="D34" s="22"/>
      <c r="E34" s="22"/>
      <c r="F34" s="9"/>
      <c r="G34" s="35"/>
      <c r="H34" s="9"/>
      <c r="I34" s="9"/>
      <c r="J34" s="17"/>
      <c r="K34" s="17"/>
      <c r="L34" s="9"/>
      <c r="M34" s="19" t="str">
        <f>IF($A34="","",COUNTIF(WBS!$A:$A,$A34))</f>
        <v/>
      </c>
      <c r="N34" s="19" t="str">
        <f>IF($A34="","",SUMIF(WBS!$A:$A,$A34,WBS!$E:$E))</f>
        <v/>
      </c>
      <c r="O34" s="19" t="str">
        <f>IF($A34="","",SUMIF(WBS!$A:$A,$A34,WBS!$L:$L))</f>
        <v/>
      </c>
      <c r="P34" s="19" t="str">
        <f>IF($A34="","",SUMIF(WBS!$A:$A,$A34,WBS!$M:$M))</f>
        <v/>
      </c>
      <c r="Q34" s="21" t="str">
        <f>IF($A34="","",IFERROR(SUMIFS(WBS!$E:$E,WBS!$A:$A,$A34,WBS!$F:$F,"done")/$N34,0))</f>
        <v/>
      </c>
      <c r="R34" s="9"/>
      <c r="S34" s="22"/>
    </row>
    <row r="35" ht="15.75" hidden="1" customHeight="1">
      <c r="A35" s="9"/>
      <c r="B35" s="22"/>
      <c r="C35" s="9"/>
      <c r="D35" s="22"/>
      <c r="E35" s="22"/>
      <c r="F35" s="9"/>
      <c r="G35" s="35"/>
      <c r="H35" s="9"/>
      <c r="I35" s="9"/>
      <c r="J35" s="17"/>
      <c r="K35" s="17"/>
      <c r="L35" s="9"/>
      <c r="M35" s="19" t="str">
        <f>IF($A35="","",COUNTIF(WBS!$A:$A,$A35))</f>
        <v/>
      </c>
      <c r="N35" s="19" t="str">
        <f>IF($A35="","",SUMIF(WBS!$A:$A,$A35,WBS!$E:$E))</f>
        <v/>
      </c>
      <c r="O35" s="19" t="str">
        <f>IF($A35="","",SUMIF(WBS!$A:$A,$A35,WBS!$L:$L))</f>
        <v/>
      </c>
      <c r="P35" s="19" t="str">
        <f>IF($A35="","",SUMIF(WBS!$A:$A,$A35,WBS!$M:$M))</f>
        <v/>
      </c>
      <c r="Q35" s="21" t="str">
        <f>IF($A35="","",IFERROR(SUMIFS(WBS!$E:$E,WBS!$A:$A,$A35,WBS!$F:$F,"done")/$N35,0))</f>
        <v/>
      </c>
      <c r="R35" s="9"/>
      <c r="S35" s="22"/>
    </row>
    <row r="36" ht="15.75" hidden="1" customHeight="1">
      <c r="A36" s="9"/>
      <c r="B36" s="22"/>
      <c r="C36" s="9"/>
      <c r="D36" s="22"/>
      <c r="E36" s="22"/>
      <c r="F36" s="9"/>
      <c r="G36" s="35"/>
      <c r="H36" s="9"/>
      <c r="I36" s="9"/>
      <c r="J36" s="17"/>
      <c r="K36" s="17"/>
      <c r="L36" s="9"/>
      <c r="M36" s="19" t="str">
        <f>IF($A36="","",COUNTIF(WBS!$A:$A,$A36))</f>
        <v/>
      </c>
      <c r="N36" s="19" t="str">
        <f>IF($A36="","",SUMIF(WBS!$A:$A,$A36,WBS!$E:$E))</f>
        <v/>
      </c>
      <c r="O36" s="19" t="str">
        <f>IF($A36="","",SUMIF(WBS!$A:$A,$A36,WBS!$L:$L))</f>
        <v/>
      </c>
      <c r="P36" s="19" t="str">
        <f>IF($A36="","",SUMIF(WBS!$A:$A,$A36,WBS!$M:$M))</f>
        <v/>
      </c>
      <c r="Q36" s="21" t="str">
        <f>IF($A36="","",IFERROR(SUMIFS(WBS!$E:$E,WBS!$A:$A,$A36,WBS!$F:$F,"done")/$N36,0))</f>
        <v/>
      </c>
      <c r="R36" s="9"/>
      <c r="S36" s="22"/>
    </row>
    <row r="37" ht="15.75" hidden="1" customHeight="1">
      <c r="A37" s="9"/>
      <c r="B37" s="22"/>
      <c r="C37" s="9"/>
      <c r="D37" s="22"/>
      <c r="E37" s="22"/>
      <c r="F37" s="9"/>
      <c r="G37" s="35"/>
      <c r="H37" s="9"/>
      <c r="I37" s="9"/>
      <c r="J37" s="17"/>
      <c r="K37" s="17"/>
      <c r="L37" s="9"/>
      <c r="M37" s="19" t="str">
        <f>IF($A37="","",COUNTIF(WBS!$A:$A,$A37))</f>
        <v/>
      </c>
      <c r="N37" s="19" t="str">
        <f>IF($A37="","",SUMIF(WBS!$A:$A,$A37,WBS!$E:$E))</f>
        <v/>
      </c>
      <c r="O37" s="19" t="str">
        <f>IF($A37="","",SUMIF(WBS!$A:$A,$A37,WBS!$L:$L))</f>
        <v/>
      </c>
      <c r="P37" s="19" t="str">
        <f>IF($A37="","",SUMIF(WBS!$A:$A,$A37,WBS!$M:$M))</f>
        <v/>
      </c>
      <c r="Q37" s="21" t="str">
        <f>IF($A37="","",IFERROR(SUMIFS(WBS!$E:$E,WBS!$A:$A,$A37,WBS!$F:$F,"done")/$N37,0))</f>
        <v/>
      </c>
      <c r="R37" s="9"/>
      <c r="S37" s="22"/>
    </row>
    <row r="38" ht="15.75" hidden="1" customHeight="1">
      <c r="A38" s="9"/>
      <c r="B38" s="22"/>
      <c r="C38" s="9"/>
      <c r="D38" s="22"/>
      <c r="E38" s="22"/>
      <c r="F38" s="9"/>
      <c r="G38" s="35"/>
      <c r="H38" s="9"/>
      <c r="I38" s="9"/>
      <c r="J38" s="17"/>
      <c r="K38" s="17"/>
      <c r="L38" s="9"/>
      <c r="M38" s="19" t="str">
        <f>IF($A38="","",COUNTIF(WBS!$A:$A,$A38))</f>
        <v/>
      </c>
      <c r="N38" s="19" t="str">
        <f>IF($A38="","",SUMIF(WBS!$A:$A,$A38,WBS!$E:$E))</f>
        <v/>
      </c>
      <c r="O38" s="19" t="str">
        <f>IF($A38="","",SUMIF(WBS!$A:$A,$A38,WBS!$L:$L))</f>
        <v/>
      </c>
      <c r="P38" s="19" t="str">
        <f>IF($A38="","",SUMIF(WBS!$A:$A,$A38,WBS!$M:$M))</f>
        <v/>
      </c>
      <c r="Q38" s="21" t="str">
        <f>IF($A38="","",IFERROR(SUMIFS(WBS!$E:$E,WBS!$A:$A,$A38,WBS!$F:$F,"done")/$N38,0))</f>
        <v/>
      </c>
      <c r="R38" s="9"/>
      <c r="S38" s="22"/>
    </row>
    <row r="39" ht="15.75" hidden="1" customHeight="1">
      <c r="A39" s="9"/>
      <c r="B39" s="22"/>
      <c r="C39" s="9"/>
      <c r="D39" s="22"/>
      <c r="E39" s="22"/>
      <c r="F39" s="9"/>
      <c r="G39" s="35"/>
      <c r="H39" s="9"/>
      <c r="I39" s="9"/>
      <c r="J39" s="17"/>
      <c r="K39" s="17"/>
      <c r="L39" s="9"/>
      <c r="M39" s="19" t="str">
        <f>IF($A39="","",COUNTIF(WBS!$A:$A,$A39))</f>
        <v/>
      </c>
      <c r="N39" s="19" t="str">
        <f>IF($A39="","",SUMIF(WBS!$A:$A,$A39,WBS!$E:$E))</f>
        <v/>
      </c>
      <c r="O39" s="19" t="str">
        <f>IF($A39="","",SUMIF(WBS!$A:$A,$A39,WBS!$L:$L))</f>
        <v/>
      </c>
      <c r="P39" s="19" t="str">
        <f>IF($A39="","",SUMIF(WBS!$A:$A,$A39,WBS!$M:$M))</f>
        <v/>
      </c>
      <c r="Q39" s="21" t="str">
        <f>IF($A39="","",IFERROR(SUMIFS(WBS!$E:$E,WBS!$A:$A,$A39,WBS!$F:$F,"done")/$N39,0))</f>
        <v/>
      </c>
      <c r="R39" s="9"/>
      <c r="S39" s="22"/>
    </row>
    <row r="40" ht="15.75" hidden="1" customHeight="1">
      <c r="A40" s="9"/>
      <c r="B40" s="22"/>
      <c r="C40" s="9"/>
      <c r="D40" s="22"/>
      <c r="E40" s="22"/>
      <c r="F40" s="9"/>
      <c r="G40" s="35"/>
      <c r="H40" s="9"/>
      <c r="I40" s="9"/>
      <c r="J40" s="17"/>
      <c r="K40" s="17"/>
      <c r="L40" s="9"/>
      <c r="M40" s="19" t="str">
        <f>IF($A40="","",COUNTIF(WBS!$A:$A,$A40))</f>
        <v/>
      </c>
      <c r="N40" s="19" t="str">
        <f>IF($A40="","",SUMIF(WBS!$A:$A,$A40,WBS!$E:$E))</f>
        <v/>
      </c>
      <c r="O40" s="19" t="str">
        <f>IF($A40="","",SUMIF(WBS!$A:$A,$A40,WBS!$L:$L))</f>
        <v/>
      </c>
      <c r="P40" s="19" t="str">
        <f>IF($A40="","",SUMIF(WBS!$A:$A,$A40,WBS!$M:$M))</f>
        <v/>
      </c>
      <c r="Q40" s="21" t="str">
        <f>IF($A40="","",IFERROR(SUMIFS(WBS!$E:$E,WBS!$A:$A,$A40,WBS!$F:$F,"done")/$N40,0))</f>
        <v/>
      </c>
      <c r="R40" s="9"/>
      <c r="S40" s="22"/>
    </row>
    <row r="41" ht="15.75" hidden="1" customHeight="1">
      <c r="A41" s="9"/>
      <c r="B41" s="22"/>
      <c r="C41" s="9"/>
      <c r="D41" s="22"/>
      <c r="E41" s="22"/>
      <c r="F41" s="9"/>
      <c r="G41" s="35"/>
      <c r="H41" s="9"/>
      <c r="I41" s="9"/>
      <c r="J41" s="17"/>
      <c r="K41" s="17"/>
      <c r="L41" s="9"/>
      <c r="M41" s="19" t="str">
        <f>IF($A41="","",COUNTIF(WBS!$A:$A,$A41))</f>
        <v/>
      </c>
      <c r="N41" s="19" t="str">
        <f>IF($A41="","",SUMIF(WBS!$A:$A,$A41,WBS!$E:$E))</f>
        <v/>
      </c>
      <c r="O41" s="19" t="str">
        <f>IF($A41="","",SUMIF(WBS!$A:$A,$A41,WBS!$L:$L))</f>
        <v/>
      </c>
      <c r="P41" s="19" t="str">
        <f>IF($A41="","",SUMIF(WBS!$A:$A,$A41,WBS!$M:$M))</f>
        <v/>
      </c>
      <c r="Q41" s="21" t="str">
        <f>IF($A41="","",IFERROR(SUMIFS(WBS!$E:$E,WBS!$A:$A,$A41,WBS!$F:$F,"done")/$N41,0))</f>
        <v/>
      </c>
      <c r="R41" s="9"/>
      <c r="S41" s="22"/>
    </row>
    <row r="42" ht="15.75" hidden="1" customHeight="1">
      <c r="A42" s="9"/>
      <c r="B42" s="22"/>
      <c r="C42" s="9"/>
      <c r="D42" s="22"/>
      <c r="E42" s="22"/>
      <c r="F42" s="9"/>
      <c r="G42" s="35"/>
      <c r="H42" s="9"/>
      <c r="I42" s="9"/>
      <c r="J42" s="17"/>
      <c r="K42" s="17"/>
      <c r="L42" s="9"/>
      <c r="M42" s="19" t="str">
        <f>IF($A42="","",COUNTIF(WBS!$A:$A,$A42))</f>
        <v/>
      </c>
      <c r="N42" s="19" t="str">
        <f>IF($A42="","",SUMIF(WBS!$A:$A,$A42,WBS!$E:$E))</f>
        <v/>
      </c>
      <c r="O42" s="19" t="str">
        <f>IF($A42="","",SUMIF(WBS!$A:$A,$A42,WBS!$L:$L))</f>
        <v/>
      </c>
      <c r="P42" s="19" t="str">
        <f>IF($A42="","",SUMIF(WBS!$A:$A,$A42,WBS!$M:$M))</f>
        <v/>
      </c>
      <c r="Q42" s="21" t="str">
        <f>IF($A42="","",IFERROR(SUMIFS(WBS!$E:$E,WBS!$A:$A,$A42,WBS!$F:$F,"done")/$N42,0))</f>
        <v/>
      </c>
      <c r="R42" s="9"/>
      <c r="S42" s="22"/>
    </row>
    <row r="43" ht="15.75" hidden="1" customHeight="1">
      <c r="A43" s="9"/>
      <c r="B43" s="22"/>
      <c r="C43" s="9"/>
      <c r="D43" s="22"/>
      <c r="E43" s="22"/>
      <c r="F43" s="9"/>
      <c r="G43" s="35"/>
      <c r="H43" s="9"/>
      <c r="I43" s="9"/>
      <c r="J43" s="17"/>
      <c r="K43" s="17"/>
      <c r="L43" s="9"/>
      <c r="M43" s="19" t="str">
        <f>IF($A43="","",COUNTIF(WBS!$A:$A,$A43))</f>
        <v/>
      </c>
      <c r="N43" s="19" t="str">
        <f>IF($A43="","",SUMIF(WBS!$A:$A,$A43,WBS!$E:$E))</f>
        <v/>
      </c>
      <c r="O43" s="19" t="str">
        <f>IF($A43="","",SUMIF(WBS!$A:$A,$A43,WBS!$L:$L))</f>
        <v/>
      </c>
      <c r="P43" s="19" t="str">
        <f>IF($A43="","",SUMIF(WBS!$A:$A,$A43,WBS!$M:$M))</f>
        <v/>
      </c>
      <c r="Q43" s="21" t="str">
        <f>IF($A43="","",IFERROR(SUMIFS(WBS!$E:$E,WBS!$A:$A,$A43,WBS!$F:$F,"done")/$N43,0))</f>
        <v/>
      </c>
      <c r="R43" s="9"/>
      <c r="S43" s="22"/>
    </row>
    <row r="44" ht="15.75" hidden="1" customHeight="1">
      <c r="A44" s="9"/>
      <c r="B44" s="22"/>
      <c r="C44" s="9"/>
      <c r="D44" s="22"/>
      <c r="E44" s="22"/>
      <c r="F44" s="9"/>
      <c r="G44" s="35"/>
      <c r="H44" s="9"/>
      <c r="I44" s="9"/>
      <c r="J44" s="17"/>
      <c r="K44" s="17"/>
      <c r="L44" s="9"/>
      <c r="M44" s="19" t="str">
        <f>IF($A44="","",COUNTIF(WBS!$A:$A,$A44))</f>
        <v/>
      </c>
      <c r="N44" s="19" t="str">
        <f>IF($A44="","",SUMIF(WBS!$A:$A,$A44,WBS!$E:$E))</f>
        <v/>
      </c>
      <c r="O44" s="19" t="str">
        <f>IF($A44="","",SUMIF(WBS!$A:$A,$A44,WBS!$L:$L))</f>
        <v/>
      </c>
      <c r="P44" s="19" t="str">
        <f>IF($A44="","",SUMIF(WBS!$A:$A,$A44,WBS!$M:$M))</f>
        <v/>
      </c>
      <c r="Q44" s="21" t="str">
        <f>IF($A44="","",IFERROR(SUMIFS(WBS!$E:$E,WBS!$A:$A,$A44,WBS!$F:$F,"done")/$N44,0))</f>
        <v/>
      </c>
      <c r="R44" s="9"/>
      <c r="S44" s="22"/>
    </row>
    <row r="45" ht="15.75" hidden="1" customHeight="1">
      <c r="A45" s="9"/>
      <c r="B45" s="22"/>
      <c r="C45" s="9"/>
      <c r="D45" s="22"/>
      <c r="E45" s="22"/>
      <c r="F45" s="9"/>
      <c r="G45" s="35"/>
      <c r="H45" s="9"/>
      <c r="I45" s="9"/>
      <c r="J45" s="17"/>
      <c r="K45" s="17"/>
      <c r="L45" s="9"/>
      <c r="M45" s="19" t="str">
        <f>IF($A45="","",COUNTIF(WBS!$A:$A,$A45))</f>
        <v/>
      </c>
      <c r="N45" s="19" t="str">
        <f>IF($A45="","",SUMIF(WBS!$A:$A,$A45,WBS!$E:$E))</f>
        <v/>
      </c>
      <c r="O45" s="19" t="str">
        <f>IF($A45="","",SUMIF(WBS!$A:$A,$A45,WBS!$L:$L))</f>
        <v/>
      </c>
      <c r="P45" s="19" t="str">
        <f>IF($A45="","",SUMIF(WBS!$A:$A,$A45,WBS!$M:$M))</f>
        <v/>
      </c>
      <c r="Q45" s="21" t="str">
        <f>IF($A45="","",IFERROR(SUMIFS(WBS!$E:$E,WBS!$A:$A,$A45,WBS!$F:$F,"done")/$N45,0))</f>
        <v/>
      </c>
      <c r="R45" s="9"/>
      <c r="S45" s="22"/>
    </row>
    <row r="46" ht="15.75" hidden="1" customHeight="1">
      <c r="A46" s="9"/>
      <c r="B46" s="22"/>
      <c r="C46" s="9"/>
      <c r="D46" s="22"/>
      <c r="E46" s="22"/>
      <c r="F46" s="9"/>
      <c r="G46" s="35"/>
      <c r="H46" s="9"/>
      <c r="I46" s="9"/>
      <c r="J46" s="17"/>
      <c r="K46" s="17"/>
      <c r="L46" s="9"/>
      <c r="M46" s="19" t="str">
        <f>IF($A46="","",COUNTIF(WBS!$A:$A,$A46))</f>
        <v/>
      </c>
      <c r="N46" s="19" t="str">
        <f>IF($A46="","",SUMIF(WBS!$A:$A,$A46,WBS!$E:$E))</f>
        <v/>
      </c>
      <c r="O46" s="19" t="str">
        <f>IF($A46="","",SUMIF(WBS!$A:$A,$A46,WBS!$L:$L))</f>
        <v/>
      </c>
      <c r="P46" s="19" t="str">
        <f>IF($A46="","",SUMIF(WBS!$A:$A,$A46,WBS!$M:$M))</f>
        <v/>
      </c>
      <c r="Q46" s="21" t="str">
        <f>IF($A46="","",IFERROR(SUMIFS(WBS!$E:$E,WBS!$A:$A,$A46,WBS!$F:$F,"done")/$N46,0))</f>
        <v/>
      </c>
      <c r="R46" s="9"/>
      <c r="S46" s="22"/>
    </row>
    <row r="47" ht="15.75" hidden="1" customHeight="1">
      <c r="A47" s="9"/>
      <c r="B47" s="22"/>
      <c r="C47" s="9"/>
      <c r="D47" s="22"/>
      <c r="E47" s="22"/>
      <c r="F47" s="9"/>
      <c r="G47" s="35"/>
      <c r="H47" s="9"/>
      <c r="I47" s="9"/>
      <c r="J47" s="17"/>
      <c r="K47" s="17"/>
      <c r="L47" s="9"/>
      <c r="M47" s="19" t="str">
        <f>IF($A47="","",COUNTIF(WBS!$A:$A,$A47))</f>
        <v/>
      </c>
      <c r="N47" s="19" t="str">
        <f>IF($A47="","",SUMIF(WBS!$A:$A,$A47,WBS!$E:$E))</f>
        <v/>
      </c>
      <c r="O47" s="19" t="str">
        <f>IF($A47="","",SUMIF(WBS!$A:$A,$A47,WBS!$L:$L))</f>
        <v/>
      </c>
      <c r="P47" s="19" t="str">
        <f>IF($A47="","",SUMIF(WBS!$A:$A,$A47,WBS!$M:$M))</f>
        <v/>
      </c>
      <c r="Q47" s="21" t="str">
        <f>IF($A47="","",IFERROR(SUMIFS(WBS!$E:$E,WBS!$A:$A,$A47,WBS!$F:$F,"done")/$N47,0))</f>
        <v/>
      </c>
      <c r="R47" s="9"/>
      <c r="S47" s="22"/>
    </row>
    <row r="48" ht="15.75" hidden="1" customHeight="1">
      <c r="A48" s="9"/>
      <c r="B48" s="22"/>
      <c r="C48" s="9"/>
      <c r="D48" s="22"/>
      <c r="E48" s="22"/>
      <c r="F48" s="9"/>
      <c r="G48" s="35"/>
      <c r="H48" s="9"/>
      <c r="I48" s="9"/>
      <c r="J48" s="17"/>
      <c r="K48" s="17"/>
      <c r="L48" s="9"/>
      <c r="M48" s="19" t="str">
        <f>IF($A48="","",COUNTIF(WBS!$A:$A,$A48))</f>
        <v/>
      </c>
      <c r="N48" s="19" t="str">
        <f>IF($A48="","",SUMIF(WBS!$A:$A,$A48,WBS!$E:$E))</f>
        <v/>
      </c>
      <c r="O48" s="19" t="str">
        <f>IF($A48="","",SUMIF(WBS!$A:$A,$A48,WBS!$L:$L))</f>
        <v/>
      </c>
      <c r="P48" s="19" t="str">
        <f>IF($A48="","",SUMIF(WBS!$A:$A,$A48,WBS!$M:$M))</f>
        <v/>
      </c>
      <c r="Q48" s="21" t="str">
        <f>IF($A48="","",IFERROR(SUMIFS(WBS!$E:$E,WBS!$A:$A,$A48,WBS!$F:$F,"done")/$N48,0))</f>
        <v/>
      </c>
      <c r="R48" s="9"/>
      <c r="S48" s="22"/>
    </row>
    <row r="49" ht="15.75" hidden="1" customHeight="1">
      <c r="A49" s="9"/>
      <c r="B49" s="22"/>
      <c r="C49" s="9"/>
      <c r="D49" s="22"/>
      <c r="E49" s="22"/>
      <c r="F49" s="9"/>
      <c r="G49" s="35"/>
      <c r="H49" s="9"/>
      <c r="I49" s="9"/>
      <c r="J49" s="17"/>
      <c r="K49" s="17"/>
      <c r="L49" s="9"/>
      <c r="M49" s="19" t="str">
        <f>IF($A49="","",COUNTIF(WBS!$A:$A,$A49))</f>
        <v/>
      </c>
      <c r="N49" s="19" t="str">
        <f>IF($A49="","",SUMIF(WBS!$A:$A,$A49,WBS!$E:$E))</f>
        <v/>
      </c>
      <c r="O49" s="19" t="str">
        <f>IF($A49="","",SUMIF(WBS!$A:$A,$A49,WBS!$L:$L))</f>
        <v/>
      </c>
      <c r="P49" s="19" t="str">
        <f>IF($A49="","",SUMIF(WBS!$A:$A,$A49,WBS!$M:$M))</f>
        <v/>
      </c>
      <c r="Q49" s="21" t="str">
        <f>IF($A49="","",IFERROR(SUMIFS(WBS!$E:$E,WBS!$A:$A,$A49,WBS!$F:$F,"done")/$N49,0))</f>
        <v/>
      </c>
      <c r="R49" s="9"/>
      <c r="S49" s="22"/>
    </row>
    <row r="50" ht="15.75" hidden="1" customHeight="1">
      <c r="A50" s="9"/>
      <c r="B50" s="22"/>
      <c r="C50" s="9"/>
      <c r="D50" s="22"/>
      <c r="E50" s="22"/>
      <c r="F50" s="9"/>
      <c r="G50" s="35"/>
      <c r="H50" s="9"/>
      <c r="I50" s="9"/>
      <c r="J50" s="17"/>
      <c r="K50" s="17"/>
      <c r="L50" s="9"/>
      <c r="M50" s="19" t="str">
        <f>IF($A50="","",COUNTIF(WBS!$A:$A,$A50))</f>
        <v/>
      </c>
      <c r="N50" s="19" t="str">
        <f>IF($A50="","",SUMIF(WBS!$A:$A,$A50,WBS!$E:$E))</f>
        <v/>
      </c>
      <c r="O50" s="19" t="str">
        <f>IF($A50="","",SUMIF(WBS!$A:$A,$A50,WBS!$L:$L))</f>
        <v/>
      </c>
      <c r="P50" s="19" t="str">
        <f>IF($A50="","",SUMIF(WBS!$A:$A,$A50,WBS!$M:$M))</f>
        <v/>
      </c>
      <c r="Q50" s="21" t="str">
        <f>IF($A50="","",IFERROR(SUMIFS(WBS!$E:$E,WBS!$A:$A,$A50,WBS!$F:$F,"done")/$N50,0))</f>
        <v/>
      </c>
      <c r="R50" s="9"/>
      <c r="S50" s="22"/>
    </row>
    <row r="51" ht="15.75" hidden="1" customHeight="1">
      <c r="A51" s="9"/>
      <c r="B51" s="22"/>
      <c r="C51" s="9"/>
      <c r="D51" s="22"/>
      <c r="E51" s="22"/>
      <c r="F51" s="9"/>
      <c r="G51" s="35"/>
      <c r="H51" s="9"/>
      <c r="I51" s="9"/>
      <c r="J51" s="17"/>
      <c r="K51" s="17"/>
      <c r="L51" s="9"/>
      <c r="M51" s="19" t="str">
        <f>IF($A51="","",COUNTIF(WBS!$A:$A,$A51))</f>
        <v/>
      </c>
      <c r="N51" s="19" t="str">
        <f>IF($A51="","",SUMIF(WBS!$A:$A,$A51,WBS!$E:$E))</f>
        <v/>
      </c>
      <c r="O51" s="19" t="str">
        <f>IF($A51="","",SUMIF(WBS!$A:$A,$A51,WBS!$L:$L))</f>
        <v/>
      </c>
      <c r="P51" s="19" t="str">
        <f>IF($A51="","",SUMIF(WBS!$A:$A,$A51,WBS!$M:$M))</f>
        <v/>
      </c>
      <c r="Q51" s="21" t="str">
        <f>IF($A51="","",IFERROR(SUMIFS(WBS!$E:$E,WBS!$A:$A,$A51,WBS!$F:$F,"done")/$N51,0))</f>
        <v/>
      </c>
      <c r="R51" s="9"/>
      <c r="S51" s="22"/>
    </row>
    <row r="52" ht="15.75" hidden="1" customHeight="1">
      <c r="A52" s="9"/>
      <c r="B52" s="22"/>
      <c r="C52" s="9"/>
      <c r="D52" s="22"/>
      <c r="E52" s="22"/>
      <c r="F52" s="9"/>
      <c r="G52" s="35"/>
      <c r="H52" s="9"/>
      <c r="I52" s="9"/>
      <c r="J52" s="17"/>
      <c r="K52" s="17"/>
      <c r="L52" s="9"/>
      <c r="M52" s="19" t="str">
        <f>IF($A52="","",COUNTIF(WBS!$A:$A,$A52))</f>
        <v/>
      </c>
      <c r="N52" s="19" t="str">
        <f>IF($A52="","",SUMIF(WBS!$A:$A,$A52,WBS!$E:$E))</f>
        <v/>
      </c>
      <c r="O52" s="19" t="str">
        <f>IF($A52="","",SUMIF(WBS!$A:$A,$A52,WBS!$L:$L))</f>
        <v/>
      </c>
      <c r="P52" s="19" t="str">
        <f>IF($A52="","",SUMIF(WBS!$A:$A,$A52,WBS!$M:$M))</f>
        <v/>
      </c>
      <c r="Q52" s="21" t="str">
        <f>IF($A52="","",IFERROR(SUMIFS(WBS!$E:$E,WBS!$A:$A,$A52,WBS!$F:$F,"done")/$N52,0))</f>
        <v/>
      </c>
      <c r="R52" s="9"/>
      <c r="S52" s="22"/>
    </row>
    <row r="53" ht="15.75" hidden="1" customHeight="1">
      <c r="A53" s="9"/>
      <c r="B53" s="22"/>
      <c r="C53" s="9"/>
      <c r="D53" s="22"/>
      <c r="E53" s="22"/>
      <c r="F53" s="9"/>
      <c r="G53" s="35"/>
      <c r="H53" s="9"/>
      <c r="I53" s="9"/>
      <c r="J53" s="17"/>
      <c r="K53" s="17"/>
      <c r="L53" s="9"/>
      <c r="M53" s="19" t="str">
        <f>IF($A53="","",COUNTIF(WBS!$A:$A,$A53))</f>
        <v/>
      </c>
      <c r="N53" s="19" t="str">
        <f>IF($A53="","",SUMIF(WBS!$A:$A,$A53,WBS!$E:$E))</f>
        <v/>
      </c>
      <c r="O53" s="19" t="str">
        <f>IF($A53="","",SUMIF(WBS!$A:$A,$A53,WBS!$L:$L))</f>
        <v/>
      </c>
      <c r="P53" s="19" t="str">
        <f>IF($A53="","",SUMIF(WBS!$A:$A,$A53,WBS!$M:$M))</f>
        <v/>
      </c>
      <c r="Q53" s="21" t="str">
        <f>IF($A53="","",IFERROR(SUMIFS(WBS!$E:$E,WBS!$A:$A,$A53,WBS!$F:$F,"done")/$N53,0))</f>
        <v/>
      </c>
      <c r="R53" s="9"/>
      <c r="S53" s="22"/>
    </row>
    <row r="54" ht="15.75" hidden="1" customHeight="1">
      <c r="A54" s="9"/>
      <c r="B54" s="22"/>
      <c r="C54" s="9"/>
      <c r="D54" s="22"/>
      <c r="E54" s="22"/>
      <c r="F54" s="9"/>
      <c r="G54" s="35"/>
      <c r="H54" s="9"/>
      <c r="I54" s="9"/>
      <c r="J54" s="17"/>
      <c r="K54" s="17"/>
      <c r="L54" s="9"/>
      <c r="M54" s="19" t="str">
        <f>IF($A54="","",COUNTIF(WBS!$A:$A,$A54))</f>
        <v/>
      </c>
      <c r="N54" s="19" t="str">
        <f>IF($A54="","",SUMIF(WBS!$A:$A,$A54,WBS!$E:$E))</f>
        <v/>
      </c>
      <c r="O54" s="19" t="str">
        <f>IF($A54="","",SUMIF(WBS!$A:$A,$A54,WBS!$L:$L))</f>
        <v/>
      </c>
      <c r="P54" s="19" t="str">
        <f>IF($A54="","",SUMIF(WBS!$A:$A,$A54,WBS!$M:$M))</f>
        <v/>
      </c>
      <c r="Q54" s="21" t="str">
        <f>IF($A54="","",IFERROR(SUMIFS(WBS!$E:$E,WBS!$A:$A,$A54,WBS!$F:$F,"done")/$N54,0))</f>
        <v/>
      </c>
      <c r="R54" s="9"/>
      <c r="S54" s="22"/>
    </row>
    <row r="55" ht="15.75" hidden="1" customHeight="1">
      <c r="A55" s="9"/>
      <c r="B55" s="22"/>
      <c r="C55" s="9"/>
      <c r="D55" s="22"/>
      <c r="E55" s="22"/>
      <c r="F55" s="9"/>
      <c r="G55" s="35"/>
      <c r="H55" s="9"/>
      <c r="I55" s="9"/>
      <c r="J55" s="17"/>
      <c r="K55" s="17"/>
      <c r="L55" s="9"/>
      <c r="M55" s="19" t="str">
        <f>IF($A55="","",COUNTIF(WBS!$A:$A,$A55))</f>
        <v/>
      </c>
      <c r="N55" s="19" t="str">
        <f>IF($A55="","",SUMIF(WBS!$A:$A,$A55,WBS!$E:$E))</f>
        <v/>
      </c>
      <c r="O55" s="19" t="str">
        <f>IF($A55="","",SUMIF(WBS!$A:$A,$A55,WBS!$L:$L))</f>
        <v/>
      </c>
      <c r="P55" s="19" t="str">
        <f>IF($A55="","",SUMIF(WBS!$A:$A,$A55,WBS!$M:$M))</f>
        <v/>
      </c>
      <c r="Q55" s="21" t="str">
        <f>IF($A55="","",IFERROR(SUMIFS(WBS!$E:$E,WBS!$A:$A,$A55,WBS!$F:$F,"done")/$N55,0))</f>
        <v/>
      </c>
      <c r="R55" s="9"/>
      <c r="S55" s="22"/>
    </row>
    <row r="56" ht="15.75" hidden="1" customHeight="1">
      <c r="A56" s="9"/>
      <c r="B56" s="22"/>
      <c r="C56" s="9"/>
      <c r="D56" s="22"/>
      <c r="E56" s="22"/>
      <c r="F56" s="9"/>
      <c r="G56" s="35"/>
      <c r="H56" s="9"/>
      <c r="I56" s="9"/>
      <c r="J56" s="17"/>
      <c r="K56" s="17"/>
      <c r="L56" s="9"/>
      <c r="M56" s="19" t="str">
        <f>IF($A56="","",COUNTIF(WBS!$A:$A,$A56))</f>
        <v/>
      </c>
      <c r="N56" s="19" t="str">
        <f>IF($A56="","",SUMIF(WBS!$A:$A,$A56,WBS!$E:$E))</f>
        <v/>
      </c>
      <c r="O56" s="19" t="str">
        <f>IF($A56="","",SUMIF(WBS!$A:$A,$A56,WBS!$L:$L))</f>
        <v/>
      </c>
      <c r="P56" s="19" t="str">
        <f>IF($A56="","",SUMIF(WBS!$A:$A,$A56,WBS!$M:$M))</f>
        <v/>
      </c>
      <c r="Q56" s="21" t="str">
        <f>IF($A56="","",IFERROR(SUMIFS(WBS!$E:$E,WBS!$A:$A,$A56,WBS!$F:$F,"done")/$N56,0))</f>
        <v/>
      </c>
      <c r="R56" s="9"/>
      <c r="S56" s="22"/>
    </row>
    <row r="57" ht="15.75" hidden="1" customHeight="1">
      <c r="A57" s="9"/>
      <c r="B57" s="22"/>
      <c r="C57" s="9"/>
      <c r="D57" s="22"/>
      <c r="E57" s="22"/>
      <c r="F57" s="9"/>
      <c r="G57" s="35"/>
      <c r="H57" s="9"/>
      <c r="I57" s="9"/>
      <c r="J57" s="17"/>
      <c r="K57" s="17"/>
      <c r="L57" s="9"/>
      <c r="M57" s="19" t="str">
        <f>IF($A57="","",COUNTIF(WBS!$A:$A,$A57))</f>
        <v/>
      </c>
      <c r="N57" s="19" t="str">
        <f>IF($A57="","",SUMIF(WBS!$A:$A,$A57,WBS!$E:$E))</f>
        <v/>
      </c>
      <c r="O57" s="19" t="str">
        <f>IF($A57="","",SUMIF(WBS!$A:$A,$A57,WBS!$L:$L))</f>
        <v/>
      </c>
      <c r="P57" s="19" t="str">
        <f>IF($A57="","",SUMIF(WBS!$A:$A,$A57,WBS!$M:$M))</f>
        <v/>
      </c>
      <c r="Q57" s="21" t="str">
        <f>IF($A57="","",IFERROR(SUMIFS(WBS!$E:$E,WBS!$A:$A,$A57,WBS!$F:$F,"done")/$N57,0))</f>
        <v/>
      </c>
      <c r="R57" s="9"/>
      <c r="S57" s="22"/>
    </row>
    <row r="58" ht="15.75" hidden="1" customHeight="1">
      <c r="A58" s="9"/>
      <c r="B58" s="22"/>
      <c r="C58" s="9"/>
      <c r="D58" s="22"/>
      <c r="E58" s="22"/>
      <c r="F58" s="9"/>
      <c r="G58" s="35"/>
      <c r="H58" s="9"/>
      <c r="I58" s="9"/>
      <c r="J58" s="17"/>
      <c r="K58" s="17"/>
      <c r="L58" s="9"/>
      <c r="M58" s="19" t="str">
        <f>IF($A58="","",COUNTIF(WBS!$A:$A,$A58))</f>
        <v/>
      </c>
      <c r="N58" s="19" t="str">
        <f>IF($A58="","",SUMIF(WBS!$A:$A,$A58,WBS!$E:$E))</f>
        <v/>
      </c>
      <c r="O58" s="19" t="str">
        <f>IF($A58="","",SUMIF(WBS!$A:$A,$A58,WBS!$L:$L))</f>
        <v/>
      </c>
      <c r="P58" s="19" t="str">
        <f>IF($A58="","",SUMIF(WBS!$A:$A,$A58,WBS!$M:$M))</f>
        <v/>
      </c>
      <c r="Q58" s="21" t="str">
        <f>IF($A58="","",IFERROR(SUMIFS(WBS!$E:$E,WBS!$A:$A,$A58,WBS!$F:$F,"done")/$N58,0))</f>
        <v/>
      </c>
      <c r="R58" s="9"/>
      <c r="S58" s="22"/>
    </row>
    <row r="59" ht="15.75" hidden="1" customHeight="1">
      <c r="A59" s="9"/>
      <c r="B59" s="22"/>
      <c r="C59" s="9"/>
      <c r="D59" s="22"/>
      <c r="E59" s="22"/>
      <c r="F59" s="9"/>
      <c r="G59" s="35"/>
      <c r="H59" s="9"/>
      <c r="I59" s="9"/>
      <c r="J59" s="17"/>
      <c r="K59" s="17"/>
      <c r="L59" s="9"/>
      <c r="M59" s="19" t="str">
        <f>IF($A59="","",COUNTIF(WBS!$A:$A,$A59))</f>
        <v/>
      </c>
      <c r="N59" s="19" t="str">
        <f>IF($A59="","",SUMIF(WBS!$A:$A,$A59,WBS!$E:$E))</f>
        <v/>
      </c>
      <c r="O59" s="19" t="str">
        <f>IF($A59="","",SUMIF(WBS!$A:$A,$A59,WBS!$L:$L))</f>
        <v/>
      </c>
      <c r="P59" s="19" t="str">
        <f>IF($A59="","",SUMIF(WBS!$A:$A,$A59,WBS!$M:$M))</f>
        <v/>
      </c>
      <c r="Q59" s="21" t="str">
        <f>IF($A59="","",IFERROR(SUMIFS(WBS!$E:$E,WBS!$A:$A,$A59,WBS!$F:$F,"done")/$N59,0))</f>
        <v/>
      </c>
      <c r="R59" s="9"/>
      <c r="S59" s="22"/>
    </row>
    <row r="60" ht="15.75" customHeight="1"/>
    <row r="61" ht="15.75" customHeight="1">
      <c r="A61" s="4" t="s">
        <v>358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S$59">
    <filterColumn colId="7">
      <filters>
        <filter val="Sprint 4"/>
        <filter val="Sprint 3"/>
        <filter val="Sprint 2"/>
        <filter val="Sprint 1"/>
      </filters>
    </filterColumn>
  </autoFilter>
  <mergeCells count="1">
    <mergeCell ref="A61:S61"/>
  </mergeCells>
  <conditionalFormatting sqref="I2:I59">
    <cfRule type="cellIs" dxfId="0" priority="1" operator="equal">
      <formula>"done"</formula>
    </cfRule>
  </conditionalFormatting>
  <conditionalFormatting sqref="I2:I59">
    <cfRule type="cellIs" dxfId="1" priority="2" operator="equal">
      <formula>"in-progress"</formula>
    </cfRule>
  </conditionalFormatting>
  <conditionalFormatting sqref="I2:I59">
    <cfRule type="cellIs" dxfId="2" priority="3" operator="equal">
      <formula>"pending"</formula>
    </cfRule>
  </conditionalFormatting>
  <conditionalFormatting sqref="I2:I59">
    <cfRule type="cellIs" dxfId="3" priority="4" operator="equal">
      <formula>"todo"</formula>
    </cfRule>
  </conditionalFormatting>
  <dataValidations>
    <dataValidation type="list" allowBlank="1" showInputMessage="1" showErrorMessage="1" prompt="Value not allowed - Pick a sprint from the Master Data sheet." sqref="H2:H59">
      <formula1>'Master Data'!$J$5:$J$9</formula1>
    </dataValidation>
    <dataValidation type="list" allowBlank="1" showInputMessage="1" showErrorMessage="1" prompt="Value not allowed - Status must be one of: todo, in-progress, done, pending." sqref="I2:I59">
      <formula1>'Master Data'!$A$5:$A$8</formula1>
    </dataValidation>
    <dataValidation type="list" allowBlank="1" showInputMessage="1" showErrorMessage="1" prompt="Value not allowed - Priority must be one of: Must, Should, Could, Won't." sqref="F2:F59">
      <formula1>'Master Data'!$E$5:$E$8</formula1>
    </dataValidation>
    <dataValidation type="list" allowBlank="1" showInputMessage="1" showErrorMessage="1" prompt="Value not allowed - Answer Yes or No." sqref="R2:R59">
      <formula1>'Master Data'!$Z$5:$Z$6</formula1>
    </dataValidation>
    <dataValidation type="list" allowBlank="1" showInputMessage="1" showErrorMessage="1" prompt="Value not allowed - Owner must be one member from the Assignee list on Master Data." sqref="J2:J59">
      <formula1>'Master Data'!$O$5:$O$9</formula1>
    </dataValidation>
    <dataValidation type="list" allowBlank="1" showInputMessage="1" showErrorMessage="1" prompt="Value not allowed - Points must come from the Fibonacci list on Master Data." sqref="G2:G59">
      <formula1>'Master Data'!$H$5:$H$10</formula1>
    </dataValidation>
    <dataValidation type="list" allowBlank="1" showInputMessage="1" showErrorMessage="1" prompt="Value not allowed - Type must come from the Story Type list on Master Data." sqref="C2:C59">
      <formula1>'Master Data'!$U$5:$U$9</formula1>
    </dataValidation>
    <dataValidation type="list" allowBlank="1" showInputMessage="1" showErrorMessage="1" prompt="Value not allowed - Risk must be Low, Medium or High." sqref="L2:L59">
      <formula1>'Master Data'!$W$5:$W$7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2" width="11.14"/>
    <col customWidth="1" min="3" max="3" width="66.0"/>
    <col customWidth="1" min="4" max="4" width="18.29"/>
    <col customWidth="1" min="5" max="5" width="16.29"/>
    <col customWidth="1" min="6" max="6" width="19.29"/>
    <col customWidth="1" min="7" max="7" width="62.71"/>
    <col customWidth="1" min="8" max="8" width="11.14"/>
    <col customWidth="1" min="9" max="11" width="13.43"/>
    <col customWidth="1" min="12" max="13" width="10.14"/>
    <col customWidth="1" min="14" max="14" width="13.43"/>
    <col customWidth="1" min="15" max="15" width="16.86"/>
    <col customWidth="1" min="16" max="16" width="13.43"/>
    <col customWidth="1" min="17" max="17" width="26.86"/>
    <col customWidth="1" min="18" max="26" width="8.71"/>
  </cols>
  <sheetData>
    <row r="1" ht="37.5" customHeight="1">
      <c r="A1" s="3" t="s">
        <v>1</v>
      </c>
      <c r="B1" s="3" t="s">
        <v>8</v>
      </c>
      <c r="C1" s="3" t="s">
        <v>11</v>
      </c>
      <c r="D1" s="3" t="s">
        <v>14</v>
      </c>
      <c r="E1" s="3" t="s">
        <v>17</v>
      </c>
      <c r="F1" s="3" t="s">
        <v>10</v>
      </c>
      <c r="G1" s="3" t="s">
        <v>21</v>
      </c>
      <c r="H1" s="3" t="s">
        <v>15</v>
      </c>
      <c r="I1" s="3" t="s">
        <v>26</v>
      </c>
      <c r="J1" s="3" t="s">
        <v>29</v>
      </c>
      <c r="K1" s="3" t="s">
        <v>33</v>
      </c>
      <c r="L1" s="3" t="s">
        <v>25</v>
      </c>
      <c r="M1" s="3" t="s">
        <v>27</v>
      </c>
      <c r="N1" s="3" t="s">
        <v>37</v>
      </c>
      <c r="O1" s="3" t="s">
        <v>39</v>
      </c>
      <c r="P1" s="3" t="s">
        <v>44</v>
      </c>
      <c r="Q1" s="3" t="s">
        <v>48</v>
      </c>
    </row>
    <row r="2" hidden="1">
      <c r="A2" s="12"/>
      <c r="B2" s="14" t="s">
        <v>55</v>
      </c>
      <c r="C2" s="12" t="s">
        <v>57</v>
      </c>
      <c r="D2" s="12" t="s">
        <v>60</v>
      </c>
      <c r="E2" s="18"/>
      <c r="F2" s="20" t="s">
        <v>38</v>
      </c>
      <c r="G2" s="17"/>
      <c r="H2" s="14" t="s">
        <v>52</v>
      </c>
      <c r="I2" s="12"/>
      <c r="J2" s="23"/>
      <c r="K2" s="23"/>
      <c r="L2" s="18"/>
      <c r="M2" s="18"/>
      <c r="N2" s="17"/>
      <c r="O2" s="12"/>
      <c r="P2" s="23"/>
      <c r="Q2" s="17"/>
    </row>
    <row r="3" hidden="1">
      <c r="A3" s="12"/>
      <c r="B3" s="14" t="s">
        <v>73</v>
      </c>
      <c r="C3" s="12" t="s">
        <v>74</v>
      </c>
      <c r="D3" s="12" t="s">
        <v>60</v>
      </c>
      <c r="E3" s="18"/>
      <c r="F3" s="20" t="s">
        <v>38</v>
      </c>
      <c r="G3" s="17"/>
      <c r="H3" s="14" t="s">
        <v>52</v>
      </c>
      <c r="I3" s="12"/>
      <c r="J3" s="23"/>
      <c r="K3" s="23"/>
      <c r="L3" s="18"/>
      <c r="M3" s="18"/>
      <c r="N3" s="17"/>
      <c r="O3" s="17"/>
      <c r="P3" s="23"/>
      <c r="Q3" s="17"/>
    </row>
    <row r="4" hidden="1">
      <c r="A4" s="12"/>
      <c r="B4" s="14" t="s">
        <v>86</v>
      </c>
      <c r="C4" s="12" t="s">
        <v>87</v>
      </c>
      <c r="D4" s="12" t="s">
        <v>89</v>
      </c>
      <c r="E4" s="18"/>
      <c r="F4" s="20" t="s">
        <v>38</v>
      </c>
      <c r="G4" s="17"/>
      <c r="H4" s="14" t="s">
        <v>52</v>
      </c>
      <c r="I4" s="12"/>
      <c r="J4" s="23"/>
      <c r="K4" s="23"/>
      <c r="L4" s="18"/>
      <c r="M4" s="18"/>
      <c r="N4" s="17"/>
      <c r="O4" s="17"/>
      <c r="P4" s="23"/>
      <c r="Q4" s="17"/>
    </row>
    <row r="5" hidden="1">
      <c r="A5" s="12"/>
      <c r="B5" s="14" t="s">
        <v>95</v>
      </c>
      <c r="C5" s="12" t="s">
        <v>97</v>
      </c>
      <c r="D5" s="12" t="s">
        <v>60</v>
      </c>
      <c r="E5" s="18"/>
      <c r="F5" s="28" t="s">
        <v>38</v>
      </c>
      <c r="G5" s="17"/>
      <c r="H5" s="14" t="s">
        <v>52</v>
      </c>
      <c r="I5" s="12"/>
      <c r="J5" s="23"/>
      <c r="K5" s="23"/>
      <c r="L5" s="18"/>
      <c r="M5" s="18"/>
      <c r="N5" s="17"/>
      <c r="O5" s="17"/>
      <c r="P5" s="23"/>
      <c r="Q5" s="17"/>
    </row>
    <row r="6" hidden="1">
      <c r="A6" s="12"/>
      <c r="B6" s="14" t="s">
        <v>106</v>
      </c>
      <c r="C6" s="12" t="s">
        <v>109</v>
      </c>
      <c r="D6" s="12" t="s">
        <v>89</v>
      </c>
      <c r="E6" s="18"/>
      <c r="F6" s="28" t="s">
        <v>38</v>
      </c>
      <c r="G6" s="17"/>
      <c r="H6" s="14" t="s">
        <v>52</v>
      </c>
      <c r="I6" s="12"/>
      <c r="J6" s="23"/>
      <c r="K6" s="23"/>
      <c r="L6" s="18"/>
      <c r="M6" s="18"/>
      <c r="N6" s="17"/>
      <c r="O6" s="17"/>
      <c r="P6" s="23"/>
      <c r="Q6" s="17"/>
    </row>
    <row r="7" hidden="1">
      <c r="A7" s="12"/>
      <c r="B7" s="14" t="s">
        <v>119</v>
      </c>
      <c r="C7" s="12" t="s">
        <v>120</v>
      </c>
      <c r="D7" s="12" t="s">
        <v>58</v>
      </c>
      <c r="E7" s="18"/>
      <c r="F7" s="28" t="s">
        <v>38</v>
      </c>
      <c r="G7" s="17"/>
      <c r="H7" s="14" t="s">
        <v>52</v>
      </c>
      <c r="I7" s="12"/>
      <c r="J7" s="23"/>
      <c r="K7" s="23"/>
      <c r="L7" s="18"/>
      <c r="M7" s="18"/>
      <c r="N7" s="17"/>
      <c r="O7" s="17"/>
      <c r="P7" s="23"/>
      <c r="Q7" s="17"/>
    </row>
    <row r="8" hidden="1">
      <c r="A8" s="14" t="s">
        <v>34</v>
      </c>
      <c r="B8" s="14" t="s">
        <v>130</v>
      </c>
      <c r="C8" s="12" t="s">
        <v>132</v>
      </c>
      <c r="D8" s="12" t="s">
        <v>58</v>
      </c>
      <c r="E8" s="18"/>
      <c r="F8" s="28" t="s">
        <v>38</v>
      </c>
      <c r="G8" s="17"/>
      <c r="H8" s="14" t="s">
        <v>52</v>
      </c>
      <c r="I8" s="12"/>
      <c r="J8" s="23"/>
      <c r="K8" s="23"/>
      <c r="L8" s="18"/>
      <c r="M8" s="18"/>
      <c r="N8" s="17"/>
      <c r="O8" s="17"/>
      <c r="P8" s="23"/>
      <c r="Q8" s="17"/>
    </row>
    <row r="9" hidden="1">
      <c r="A9" s="14" t="s">
        <v>34</v>
      </c>
      <c r="B9" s="14" t="s">
        <v>145</v>
      </c>
      <c r="C9" s="12" t="s">
        <v>146</v>
      </c>
      <c r="D9" s="17" t="s">
        <v>58</v>
      </c>
      <c r="E9" s="18"/>
      <c r="F9" s="28" t="s">
        <v>38</v>
      </c>
      <c r="G9" s="17"/>
      <c r="H9" s="14" t="s">
        <v>52</v>
      </c>
      <c r="I9" s="12"/>
      <c r="J9" s="23"/>
      <c r="K9" s="23"/>
      <c r="L9" s="18"/>
      <c r="M9" s="18"/>
      <c r="N9" s="17"/>
      <c r="O9" s="17"/>
      <c r="P9" s="23"/>
      <c r="Q9" s="17"/>
    </row>
    <row r="10" hidden="1">
      <c r="A10" s="29" t="s">
        <v>91</v>
      </c>
      <c r="B10" s="29" t="s">
        <v>163</v>
      </c>
      <c r="C10" s="30" t="s">
        <v>164</v>
      </c>
      <c r="D10" s="22" t="s">
        <v>58</v>
      </c>
      <c r="E10" s="18"/>
      <c r="F10" s="28" t="s">
        <v>38</v>
      </c>
      <c r="G10" s="17"/>
      <c r="H10" s="14" t="s">
        <v>23</v>
      </c>
      <c r="I10" s="17"/>
      <c r="J10" s="23"/>
      <c r="K10" s="23"/>
      <c r="L10" s="18"/>
      <c r="M10" s="18"/>
      <c r="N10" s="17"/>
      <c r="O10" s="17"/>
      <c r="P10" s="23"/>
      <c r="Q10" s="17"/>
    </row>
    <row r="11" hidden="1">
      <c r="A11" s="29" t="s">
        <v>91</v>
      </c>
      <c r="B11" s="29" t="s">
        <v>168</v>
      </c>
      <c r="C11" s="26" t="s">
        <v>169</v>
      </c>
      <c r="D11" s="22" t="s">
        <v>58</v>
      </c>
      <c r="E11" s="18"/>
      <c r="F11" s="28" t="s">
        <v>38</v>
      </c>
      <c r="G11" s="17"/>
      <c r="H11" s="14" t="s">
        <v>23</v>
      </c>
      <c r="I11" s="17"/>
      <c r="J11" s="23"/>
      <c r="K11" s="23"/>
      <c r="L11" s="18"/>
      <c r="M11" s="18"/>
      <c r="N11" s="17"/>
      <c r="O11" s="17"/>
      <c r="P11" s="23"/>
      <c r="Q11" s="17"/>
    </row>
    <row r="12" hidden="1">
      <c r="A12" s="31" t="s">
        <v>153</v>
      </c>
      <c r="B12" s="32" t="s">
        <v>175</v>
      </c>
      <c r="C12" s="26" t="s">
        <v>177</v>
      </c>
      <c r="D12" s="26" t="s">
        <v>60</v>
      </c>
      <c r="E12" s="18"/>
      <c r="F12" s="33" t="s">
        <v>38</v>
      </c>
      <c r="G12" s="34"/>
      <c r="H12" s="14" t="s">
        <v>23</v>
      </c>
      <c r="I12" s="17"/>
      <c r="J12" s="23"/>
      <c r="K12" s="23"/>
      <c r="L12" s="18"/>
      <c r="M12" s="18"/>
      <c r="N12" s="17"/>
      <c r="O12" s="17"/>
      <c r="P12" s="23"/>
      <c r="Q12" s="17"/>
    </row>
    <row r="13" hidden="1">
      <c r="A13" s="31" t="s">
        <v>153</v>
      </c>
      <c r="B13" s="32" t="s">
        <v>184</v>
      </c>
      <c r="C13" s="10" t="s">
        <v>185</v>
      </c>
      <c r="D13" s="26" t="s">
        <v>60</v>
      </c>
      <c r="E13" s="35"/>
      <c r="F13" s="33" t="s">
        <v>38</v>
      </c>
      <c r="G13" s="22"/>
      <c r="H13" s="14" t="s">
        <v>23</v>
      </c>
      <c r="I13" s="17"/>
      <c r="J13" s="24"/>
      <c r="K13" s="24"/>
      <c r="L13" s="35"/>
      <c r="M13" s="19"/>
      <c r="N13" s="22"/>
      <c r="O13" s="17"/>
      <c r="P13" s="24"/>
      <c r="Q13" s="22"/>
    </row>
    <row r="14" hidden="1">
      <c r="A14" s="31" t="s">
        <v>153</v>
      </c>
      <c r="B14" s="32" t="s">
        <v>192</v>
      </c>
      <c r="C14" s="10" t="s">
        <v>193</v>
      </c>
      <c r="D14" s="26" t="s">
        <v>60</v>
      </c>
      <c r="E14" s="35"/>
      <c r="F14" s="33" t="s">
        <v>38</v>
      </c>
      <c r="G14" s="22"/>
      <c r="H14" s="14" t="s">
        <v>23</v>
      </c>
      <c r="I14" s="17"/>
      <c r="J14" s="24"/>
      <c r="K14" s="24"/>
      <c r="L14" s="35"/>
      <c r="M14" s="19"/>
      <c r="N14" s="22"/>
      <c r="O14" s="17"/>
      <c r="P14" s="24"/>
      <c r="Q14" s="22"/>
    </row>
    <row r="15" hidden="1">
      <c r="A15" s="36" t="s">
        <v>102</v>
      </c>
      <c r="B15" s="36" t="s">
        <v>198</v>
      </c>
      <c r="C15" s="10" t="s">
        <v>199</v>
      </c>
      <c r="D15" s="30" t="s">
        <v>60</v>
      </c>
      <c r="E15" s="35"/>
      <c r="F15" s="33" t="s">
        <v>38</v>
      </c>
      <c r="G15" s="22"/>
      <c r="H15" s="14" t="s">
        <v>23</v>
      </c>
      <c r="I15" s="17"/>
      <c r="J15" s="24"/>
      <c r="K15" s="24"/>
      <c r="L15" s="35"/>
      <c r="M15" s="19"/>
      <c r="N15" s="22"/>
      <c r="O15" s="17"/>
      <c r="P15" s="24"/>
      <c r="Q15" s="22"/>
    </row>
    <row r="16" hidden="1">
      <c r="A16" s="36" t="s">
        <v>102</v>
      </c>
      <c r="B16" s="36" t="s">
        <v>205</v>
      </c>
      <c r="C16" s="26" t="s">
        <v>206</v>
      </c>
      <c r="D16" s="30" t="s">
        <v>60</v>
      </c>
      <c r="E16" s="35"/>
      <c r="F16" s="33" t="s">
        <v>38</v>
      </c>
      <c r="G16" s="22"/>
      <c r="H16" s="14" t="s">
        <v>23</v>
      </c>
      <c r="I16" s="17"/>
      <c r="J16" s="24"/>
      <c r="K16" s="24"/>
      <c r="L16" s="35"/>
      <c r="M16" s="19"/>
      <c r="N16" s="22"/>
      <c r="O16" s="17"/>
      <c r="P16" s="24"/>
      <c r="Q16" s="22"/>
    </row>
    <row r="17" ht="15.75" hidden="1" customHeight="1">
      <c r="A17" s="36" t="s">
        <v>102</v>
      </c>
      <c r="B17" s="36" t="s">
        <v>213</v>
      </c>
      <c r="C17" s="26" t="s">
        <v>214</v>
      </c>
      <c r="D17" s="30" t="s">
        <v>60</v>
      </c>
      <c r="E17" s="35"/>
      <c r="F17" s="33" t="s">
        <v>38</v>
      </c>
      <c r="G17" s="22"/>
      <c r="H17" s="14" t="s">
        <v>23</v>
      </c>
      <c r="I17" s="17"/>
      <c r="J17" s="24"/>
      <c r="K17" s="24"/>
      <c r="L17" s="35"/>
      <c r="M17" s="19"/>
      <c r="N17" s="22"/>
      <c r="O17" s="17"/>
      <c r="P17" s="24"/>
      <c r="Q17" s="22"/>
    </row>
    <row r="18" ht="15.75" hidden="1" customHeight="1">
      <c r="A18" s="31" t="s">
        <v>118</v>
      </c>
      <c r="B18" s="31" t="s">
        <v>215</v>
      </c>
      <c r="C18" s="37" t="s">
        <v>217</v>
      </c>
      <c r="D18" s="30" t="s">
        <v>60</v>
      </c>
      <c r="E18" s="35"/>
      <c r="F18" s="33" t="s">
        <v>38</v>
      </c>
      <c r="G18" s="22"/>
      <c r="H18" s="14" t="s">
        <v>23</v>
      </c>
      <c r="I18" s="17"/>
      <c r="J18" s="24"/>
      <c r="K18" s="24"/>
      <c r="L18" s="35"/>
      <c r="M18" s="19"/>
      <c r="N18" s="22"/>
      <c r="O18" s="17"/>
      <c r="P18" s="24"/>
      <c r="Q18" s="22"/>
    </row>
    <row r="19" ht="15.75" hidden="1" customHeight="1">
      <c r="A19" s="31" t="s">
        <v>118</v>
      </c>
      <c r="B19" s="31" t="s">
        <v>220</v>
      </c>
      <c r="C19" s="26" t="s">
        <v>221</v>
      </c>
      <c r="D19" s="30" t="s">
        <v>60</v>
      </c>
      <c r="E19" s="35"/>
      <c r="F19" s="33" t="s">
        <v>38</v>
      </c>
      <c r="G19" s="22"/>
      <c r="H19" s="14" t="s">
        <v>23</v>
      </c>
      <c r="I19" s="17"/>
      <c r="J19" s="24"/>
      <c r="K19" s="24"/>
      <c r="L19" s="35"/>
      <c r="M19" s="19">
        <f t="shared" ref="M19:M25" si="1">IF($C19="","",IF($F19="done",0,MAX($E19-$L19,0)))</f>
        <v>0</v>
      </c>
      <c r="N19" s="22"/>
      <c r="O19" s="17"/>
      <c r="P19" s="24"/>
      <c r="Q19" s="22"/>
    </row>
    <row r="20" ht="15.75" hidden="1" customHeight="1">
      <c r="A20" s="31" t="s">
        <v>118</v>
      </c>
      <c r="B20" s="31" t="s">
        <v>225</v>
      </c>
      <c r="C20" s="26" t="s">
        <v>227</v>
      </c>
      <c r="D20" s="30" t="s">
        <v>60</v>
      </c>
      <c r="E20" s="35"/>
      <c r="F20" s="33" t="s">
        <v>38</v>
      </c>
      <c r="G20" s="22"/>
      <c r="H20" s="14" t="s">
        <v>23</v>
      </c>
      <c r="I20" s="17"/>
      <c r="J20" s="24"/>
      <c r="K20" s="24"/>
      <c r="L20" s="35"/>
      <c r="M20" s="19">
        <f t="shared" si="1"/>
        <v>0</v>
      </c>
      <c r="N20" s="22"/>
      <c r="O20" s="17"/>
      <c r="P20" s="24"/>
      <c r="Q20" s="22"/>
    </row>
    <row r="21" ht="15.75" hidden="1" customHeight="1">
      <c r="A21" s="31" t="s">
        <v>171</v>
      </c>
      <c r="B21" s="31" t="s">
        <v>231</v>
      </c>
      <c r="C21" s="26" t="s">
        <v>232</v>
      </c>
      <c r="D21" s="26" t="s">
        <v>89</v>
      </c>
      <c r="E21" s="35"/>
      <c r="F21" s="33" t="s">
        <v>38</v>
      </c>
      <c r="G21" s="22"/>
      <c r="H21" s="14" t="s">
        <v>23</v>
      </c>
      <c r="I21" s="17"/>
      <c r="J21" s="24"/>
      <c r="K21" s="24"/>
      <c r="L21" s="35"/>
      <c r="M21" s="19">
        <f t="shared" si="1"/>
        <v>0</v>
      </c>
      <c r="N21" s="22"/>
      <c r="O21" s="17"/>
      <c r="P21" s="24"/>
      <c r="Q21" s="22"/>
    </row>
    <row r="22" ht="15.75" hidden="1" customHeight="1">
      <c r="A22" s="31" t="s">
        <v>171</v>
      </c>
      <c r="B22" s="31" t="s">
        <v>247</v>
      </c>
      <c r="C22" s="26" t="s">
        <v>248</v>
      </c>
      <c r="D22" s="26" t="s">
        <v>89</v>
      </c>
      <c r="E22" s="35"/>
      <c r="F22" s="33" t="s">
        <v>38</v>
      </c>
      <c r="G22" s="22"/>
      <c r="H22" s="14" t="s">
        <v>23</v>
      </c>
      <c r="I22" s="17"/>
      <c r="J22" s="24"/>
      <c r="K22" s="24"/>
      <c r="L22" s="35"/>
      <c r="M22" s="19">
        <f t="shared" si="1"/>
        <v>0</v>
      </c>
      <c r="N22" s="22"/>
      <c r="O22" s="17"/>
      <c r="P22" s="24"/>
      <c r="Q22" s="22"/>
    </row>
    <row r="23" ht="15.75" hidden="1" customHeight="1">
      <c r="A23" s="31" t="s">
        <v>176</v>
      </c>
      <c r="B23" s="31" t="s">
        <v>267</v>
      </c>
      <c r="C23" s="26" t="s">
        <v>269</v>
      </c>
      <c r="D23" s="26" t="s">
        <v>89</v>
      </c>
      <c r="E23" s="35"/>
      <c r="F23" s="33" t="s">
        <v>38</v>
      </c>
      <c r="G23" s="22"/>
      <c r="H23" s="14" t="s">
        <v>23</v>
      </c>
      <c r="I23" s="17"/>
      <c r="J23" s="24"/>
      <c r="K23" s="24"/>
      <c r="L23" s="35"/>
      <c r="M23" s="19">
        <f t="shared" si="1"/>
        <v>0</v>
      </c>
      <c r="N23" s="22"/>
      <c r="O23" s="17"/>
      <c r="P23" s="24"/>
      <c r="Q23" s="22"/>
    </row>
    <row r="24" ht="15.75" hidden="1" customHeight="1">
      <c r="A24" s="31" t="s">
        <v>176</v>
      </c>
      <c r="B24" s="31" t="s">
        <v>290</v>
      </c>
      <c r="C24" s="26" t="s">
        <v>291</v>
      </c>
      <c r="D24" s="26" t="s">
        <v>89</v>
      </c>
      <c r="E24" s="35"/>
      <c r="F24" s="33" t="s">
        <v>38</v>
      </c>
      <c r="G24" s="22"/>
      <c r="H24" s="14" t="s">
        <v>23</v>
      </c>
      <c r="I24" s="17"/>
      <c r="J24" s="24"/>
      <c r="K24" s="24"/>
      <c r="L24" s="35"/>
      <c r="M24" s="19">
        <f t="shared" si="1"/>
        <v>0</v>
      </c>
      <c r="N24" s="22"/>
      <c r="O24" s="17"/>
      <c r="P24" s="24"/>
      <c r="Q24" s="22"/>
    </row>
    <row r="25" ht="15.75" hidden="1" customHeight="1">
      <c r="A25" s="31" t="s">
        <v>176</v>
      </c>
      <c r="B25" s="31" t="s">
        <v>295</v>
      </c>
      <c r="C25" s="26" t="s">
        <v>296</v>
      </c>
      <c r="D25" s="26" t="s">
        <v>89</v>
      </c>
      <c r="E25" s="35"/>
      <c r="F25" s="33" t="s">
        <v>38</v>
      </c>
      <c r="G25" s="22"/>
      <c r="H25" s="14" t="s">
        <v>23</v>
      </c>
      <c r="I25" s="17"/>
      <c r="J25" s="24"/>
      <c r="K25" s="24"/>
      <c r="L25" s="35"/>
      <c r="M25" s="19">
        <f t="shared" si="1"/>
        <v>0</v>
      </c>
      <c r="N25" s="22"/>
      <c r="O25" s="17"/>
      <c r="P25" s="24"/>
      <c r="Q25" s="22"/>
    </row>
    <row r="26" ht="16.5" hidden="1" customHeight="1">
      <c r="A26" s="31" t="s">
        <v>194</v>
      </c>
      <c r="B26" s="31" t="s">
        <v>297</v>
      </c>
      <c r="C26" s="37" t="s">
        <v>298</v>
      </c>
      <c r="D26" s="26" t="s">
        <v>89</v>
      </c>
      <c r="E26" s="35"/>
      <c r="F26" s="33" t="s">
        <v>38</v>
      </c>
      <c r="G26" s="22"/>
      <c r="H26" s="14" t="s">
        <v>23</v>
      </c>
      <c r="I26" s="17"/>
      <c r="J26" s="24"/>
      <c r="K26" s="24"/>
      <c r="L26" s="35"/>
      <c r="M26" s="19"/>
      <c r="N26" s="22"/>
      <c r="O26" s="17"/>
      <c r="P26" s="24"/>
      <c r="Q26" s="22"/>
    </row>
    <row r="27" ht="15.75" hidden="1" customHeight="1">
      <c r="A27" s="31" t="s">
        <v>194</v>
      </c>
      <c r="B27" s="31" t="s">
        <v>299</v>
      </c>
      <c r="C27" s="26" t="s">
        <v>300</v>
      </c>
      <c r="D27" s="26" t="s">
        <v>89</v>
      </c>
      <c r="E27" s="35"/>
      <c r="F27" s="33" t="s">
        <v>38</v>
      </c>
      <c r="G27" s="22"/>
      <c r="H27" s="14" t="s">
        <v>23</v>
      </c>
      <c r="I27" s="17"/>
      <c r="J27" s="24"/>
      <c r="K27" s="24"/>
      <c r="L27" s="35"/>
      <c r="M27" s="19"/>
      <c r="N27" s="22"/>
      <c r="O27" s="17"/>
      <c r="P27" s="24"/>
      <c r="Q27" s="22"/>
    </row>
    <row r="28" ht="15.75" hidden="1" customHeight="1">
      <c r="A28" s="31" t="s">
        <v>216</v>
      </c>
      <c r="B28" s="31" t="s">
        <v>301</v>
      </c>
      <c r="C28" s="26" t="s">
        <v>302</v>
      </c>
      <c r="D28" s="26" t="s">
        <v>89</v>
      </c>
      <c r="E28" s="35"/>
      <c r="F28" s="33" t="s">
        <v>38</v>
      </c>
      <c r="G28" s="22"/>
      <c r="H28" s="14" t="s">
        <v>23</v>
      </c>
      <c r="I28" s="17"/>
      <c r="J28" s="24"/>
      <c r="K28" s="24"/>
      <c r="L28" s="35"/>
      <c r="M28" s="19"/>
      <c r="N28" s="22"/>
      <c r="O28" s="17"/>
      <c r="P28" s="24"/>
      <c r="Q28" s="22"/>
    </row>
    <row r="29" ht="15.75" hidden="1" customHeight="1">
      <c r="A29" s="31" t="s">
        <v>216</v>
      </c>
      <c r="B29" s="31" t="s">
        <v>303</v>
      </c>
      <c r="C29" s="26" t="s">
        <v>304</v>
      </c>
      <c r="D29" s="26" t="s">
        <v>89</v>
      </c>
      <c r="E29" s="35"/>
      <c r="F29" s="33" t="s">
        <v>38</v>
      </c>
      <c r="G29" s="22"/>
      <c r="H29" s="14" t="s">
        <v>23</v>
      </c>
      <c r="I29" s="17"/>
      <c r="J29" s="24"/>
      <c r="K29" s="24"/>
      <c r="L29" s="35"/>
      <c r="M29" s="19"/>
      <c r="N29" s="22"/>
      <c r="O29" s="17"/>
      <c r="P29" s="24"/>
      <c r="Q29" s="22"/>
    </row>
    <row r="30" ht="15.75" hidden="1" customHeight="1">
      <c r="A30" s="42" t="s">
        <v>67</v>
      </c>
      <c r="B30" s="42" t="s">
        <v>305</v>
      </c>
      <c r="C30" s="22" t="s">
        <v>306</v>
      </c>
      <c r="D30" s="22" t="s">
        <v>58</v>
      </c>
      <c r="E30" s="43"/>
      <c r="F30" s="44" t="s">
        <v>38</v>
      </c>
      <c r="G30" s="45"/>
      <c r="H30" s="33" t="s">
        <v>23</v>
      </c>
      <c r="I30" s="17"/>
      <c r="J30" s="46"/>
      <c r="K30" s="46"/>
      <c r="L30" s="43"/>
      <c r="M30" s="43"/>
      <c r="N30" s="45"/>
      <c r="O30" s="45"/>
      <c r="P30" s="46"/>
      <c r="Q30" s="45"/>
      <c r="R30" s="47"/>
      <c r="S30" s="47"/>
      <c r="T30" s="47"/>
      <c r="U30" s="47"/>
      <c r="V30" s="47"/>
      <c r="W30" s="47"/>
      <c r="X30" s="47"/>
      <c r="Y30" s="47"/>
      <c r="Z30" s="47"/>
    </row>
    <row r="31" ht="15.75" hidden="1" customHeight="1">
      <c r="A31" s="42" t="s">
        <v>67</v>
      </c>
      <c r="B31" s="42" t="s">
        <v>307</v>
      </c>
      <c r="C31" s="22" t="s">
        <v>308</v>
      </c>
      <c r="D31" s="22" t="s">
        <v>58</v>
      </c>
      <c r="E31" s="43"/>
      <c r="F31" s="44" t="s">
        <v>38</v>
      </c>
      <c r="G31" s="45"/>
      <c r="H31" s="33" t="s">
        <v>23</v>
      </c>
      <c r="I31" s="17"/>
      <c r="J31" s="46"/>
      <c r="K31" s="46"/>
      <c r="L31" s="43"/>
      <c r="M31" s="43"/>
      <c r="N31" s="45"/>
      <c r="O31" s="45"/>
      <c r="P31" s="46"/>
      <c r="Q31" s="45"/>
      <c r="R31" s="47"/>
      <c r="S31" s="47"/>
      <c r="T31" s="47"/>
      <c r="U31" s="47"/>
      <c r="V31" s="47"/>
      <c r="W31" s="47"/>
      <c r="X31" s="47"/>
      <c r="Y31" s="47"/>
      <c r="Z31" s="47"/>
    </row>
    <row r="32" ht="15.75" hidden="1" customHeight="1">
      <c r="A32" s="33" t="s">
        <v>134</v>
      </c>
      <c r="B32" s="33" t="s">
        <v>309</v>
      </c>
      <c r="C32" s="26" t="s">
        <v>310</v>
      </c>
      <c r="D32" s="15" t="s">
        <v>58</v>
      </c>
      <c r="E32" s="35"/>
      <c r="F32" s="33" t="s">
        <v>38</v>
      </c>
      <c r="G32" s="22"/>
      <c r="H32" s="33" t="s">
        <v>72</v>
      </c>
      <c r="I32" s="17"/>
      <c r="J32" s="24"/>
      <c r="K32" s="24"/>
      <c r="L32" s="35"/>
      <c r="M32" s="19">
        <f t="shared" ref="M32:M44" si="2">IF($C32="","",IF($F32="done",0,MAX($E32-$L32,0)))</f>
        <v>0</v>
      </c>
      <c r="N32" s="22"/>
      <c r="O32" s="17"/>
      <c r="P32" s="24"/>
      <c r="Q32" s="22"/>
    </row>
    <row r="33" ht="15.75" hidden="1" customHeight="1">
      <c r="A33" s="33" t="s">
        <v>134</v>
      </c>
      <c r="B33" s="33" t="s">
        <v>311</v>
      </c>
      <c r="C33" s="26" t="s">
        <v>312</v>
      </c>
      <c r="D33" s="15" t="s">
        <v>58</v>
      </c>
      <c r="E33" s="35"/>
      <c r="F33" s="33" t="s">
        <v>38</v>
      </c>
      <c r="G33" s="22"/>
      <c r="H33" s="33" t="s">
        <v>72</v>
      </c>
      <c r="I33" s="17"/>
      <c r="J33" s="24"/>
      <c r="K33" s="24"/>
      <c r="L33" s="35"/>
      <c r="M33" s="19">
        <f t="shared" si="2"/>
        <v>0</v>
      </c>
      <c r="N33" s="22"/>
      <c r="O33" s="17"/>
      <c r="P33" s="24"/>
      <c r="Q33" s="22"/>
    </row>
    <row r="34" ht="15.75" hidden="1" customHeight="1">
      <c r="A34" s="33" t="s">
        <v>222</v>
      </c>
      <c r="B34" s="33" t="s">
        <v>314</v>
      </c>
      <c r="C34" s="26" t="s">
        <v>315</v>
      </c>
      <c r="D34" s="15" t="s">
        <v>58</v>
      </c>
      <c r="E34" s="35"/>
      <c r="F34" s="33" t="s">
        <v>38</v>
      </c>
      <c r="G34" s="22"/>
      <c r="H34" s="33" t="s">
        <v>72</v>
      </c>
      <c r="I34" s="17"/>
      <c r="J34" s="24"/>
      <c r="K34" s="24"/>
      <c r="L34" s="35"/>
      <c r="M34" s="19">
        <f t="shared" si="2"/>
        <v>0</v>
      </c>
      <c r="N34" s="22"/>
      <c r="O34" s="17"/>
      <c r="P34" s="24"/>
      <c r="Q34" s="22"/>
    </row>
    <row r="35" ht="15.75" hidden="1" customHeight="1">
      <c r="A35" s="33" t="s">
        <v>222</v>
      </c>
      <c r="B35" s="33" t="s">
        <v>316</v>
      </c>
      <c r="C35" s="26" t="s">
        <v>317</v>
      </c>
      <c r="D35" s="15" t="s">
        <v>58</v>
      </c>
      <c r="E35" s="35"/>
      <c r="F35" s="33" t="s">
        <v>38</v>
      </c>
      <c r="G35" s="22"/>
      <c r="H35" s="33" t="s">
        <v>72</v>
      </c>
      <c r="I35" s="17"/>
      <c r="J35" s="24"/>
      <c r="K35" s="24"/>
      <c r="L35" s="35"/>
      <c r="M35" s="19">
        <f t="shared" si="2"/>
        <v>0</v>
      </c>
      <c r="N35" s="22"/>
      <c r="O35" s="17"/>
      <c r="P35" s="24"/>
      <c r="Q35" s="22"/>
    </row>
    <row r="36" ht="15.75" hidden="1" customHeight="1">
      <c r="A36" s="33" t="s">
        <v>180</v>
      </c>
      <c r="B36" s="33" t="s">
        <v>318</v>
      </c>
      <c r="C36" s="26" t="s">
        <v>319</v>
      </c>
      <c r="D36" s="15" t="s">
        <v>89</v>
      </c>
      <c r="E36" s="35"/>
      <c r="F36" s="33" t="s">
        <v>38</v>
      </c>
      <c r="G36" s="22"/>
      <c r="H36" s="33" t="s">
        <v>72</v>
      </c>
      <c r="I36" s="17"/>
      <c r="J36" s="24"/>
      <c r="K36" s="24"/>
      <c r="L36" s="35"/>
      <c r="M36" s="19">
        <f t="shared" si="2"/>
        <v>0</v>
      </c>
      <c r="N36" s="22"/>
      <c r="O36" s="17"/>
      <c r="P36" s="24"/>
      <c r="Q36" s="22"/>
    </row>
    <row r="37" ht="15.75" hidden="1" customHeight="1">
      <c r="A37" s="33" t="s">
        <v>180</v>
      </c>
      <c r="B37" s="33" t="s">
        <v>320</v>
      </c>
      <c r="C37" s="26" t="s">
        <v>321</v>
      </c>
      <c r="D37" s="15" t="s">
        <v>89</v>
      </c>
      <c r="E37" s="35"/>
      <c r="F37" s="33" t="s">
        <v>38</v>
      </c>
      <c r="G37" s="22"/>
      <c r="H37" s="33" t="s">
        <v>72</v>
      </c>
      <c r="I37" s="17"/>
      <c r="J37" s="24"/>
      <c r="K37" s="24"/>
      <c r="L37" s="35"/>
      <c r="M37" s="19">
        <f t="shared" si="2"/>
        <v>0</v>
      </c>
      <c r="N37" s="22"/>
      <c r="O37" s="17"/>
      <c r="P37" s="24"/>
      <c r="Q37" s="22"/>
    </row>
    <row r="38" ht="15.75" hidden="1" customHeight="1">
      <c r="A38" s="33" t="s">
        <v>170</v>
      </c>
      <c r="B38" s="33" t="s">
        <v>322</v>
      </c>
      <c r="C38" s="26" t="s">
        <v>323</v>
      </c>
      <c r="D38" s="15" t="s">
        <v>89</v>
      </c>
      <c r="E38" s="35"/>
      <c r="F38" s="33" t="s">
        <v>38</v>
      </c>
      <c r="G38" s="22"/>
      <c r="H38" s="33" t="s">
        <v>72</v>
      </c>
      <c r="I38" s="17"/>
      <c r="J38" s="24"/>
      <c r="K38" s="24"/>
      <c r="L38" s="35"/>
      <c r="M38" s="19">
        <f t="shared" si="2"/>
        <v>0</v>
      </c>
      <c r="N38" s="22"/>
      <c r="O38" s="17"/>
      <c r="P38" s="24"/>
      <c r="Q38" s="22"/>
    </row>
    <row r="39" ht="15.75" hidden="1" customHeight="1">
      <c r="A39" s="33" t="s">
        <v>170</v>
      </c>
      <c r="B39" s="33" t="s">
        <v>324</v>
      </c>
      <c r="C39" s="26" t="s">
        <v>325</v>
      </c>
      <c r="D39" s="15" t="s">
        <v>89</v>
      </c>
      <c r="E39" s="35"/>
      <c r="F39" s="33" t="s">
        <v>38</v>
      </c>
      <c r="G39" s="22"/>
      <c r="H39" s="33" t="s">
        <v>72</v>
      </c>
      <c r="I39" s="17"/>
      <c r="J39" s="24"/>
      <c r="K39" s="24"/>
      <c r="L39" s="35"/>
      <c r="M39" s="19">
        <f t="shared" si="2"/>
        <v>0</v>
      </c>
      <c r="N39" s="22"/>
      <c r="O39" s="17"/>
      <c r="P39" s="24"/>
      <c r="Q39" s="22"/>
    </row>
    <row r="40" ht="15.75" hidden="1" customHeight="1">
      <c r="A40" s="33" t="s">
        <v>188</v>
      </c>
      <c r="B40" s="33" t="s">
        <v>326</v>
      </c>
      <c r="C40" s="26" t="s">
        <v>327</v>
      </c>
      <c r="D40" s="15" t="s">
        <v>60</v>
      </c>
      <c r="E40" s="35"/>
      <c r="F40" s="33" t="s">
        <v>38</v>
      </c>
      <c r="G40" s="22"/>
      <c r="H40" s="33" t="s">
        <v>72</v>
      </c>
      <c r="I40" s="17"/>
      <c r="J40" s="24"/>
      <c r="K40" s="24"/>
      <c r="L40" s="35"/>
      <c r="M40" s="19">
        <f t="shared" si="2"/>
        <v>0</v>
      </c>
      <c r="N40" s="22"/>
      <c r="O40" s="17"/>
      <c r="P40" s="24"/>
      <c r="Q40" s="22"/>
    </row>
    <row r="41" ht="15.75" hidden="1" customHeight="1">
      <c r="A41" s="33" t="s">
        <v>188</v>
      </c>
      <c r="B41" s="33" t="s">
        <v>328</v>
      </c>
      <c r="C41" s="26" t="s">
        <v>329</v>
      </c>
      <c r="D41" s="15" t="s">
        <v>60</v>
      </c>
      <c r="E41" s="35"/>
      <c r="F41" s="33" t="s">
        <v>38</v>
      </c>
      <c r="G41" s="22"/>
      <c r="H41" s="33" t="s">
        <v>72</v>
      </c>
      <c r="I41" s="17"/>
      <c r="J41" s="24"/>
      <c r="K41" s="24"/>
      <c r="L41" s="35"/>
      <c r="M41" s="19">
        <f t="shared" si="2"/>
        <v>0</v>
      </c>
      <c r="N41" s="22"/>
      <c r="O41" s="17"/>
      <c r="P41" s="24"/>
      <c r="Q41" s="22"/>
    </row>
    <row r="42" ht="15.75" hidden="1" customHeight="1">
      <c r="A42" s="33" t="s">
        <v>200</v>
      </c>
      <c r="B42" s="33" t="s">
        <v>330</v>
      </c>
      <c r="C42" s="26" t="s">
        <v>331</v>
      </c>
      <c r="D42" s="15" t="s">
        <v>60</v>
      </c>
      <c r="E42" s="35"/>
      <c r="F42" s="33" t="s">
        <v>38</v>
      </c>
      <c r="G42" s="22"/>
      <c r="H42" s="33" t="s">
        <v>72</v>
      </c>
      <c r="I42" s="17"/>
      <c r="J42" s="24"/>
      <c r="K42" s="24"/>
      <c r="L42" s="35"/>
      <c r="M42" s="19">
        <f t="shared" si="2"/>
        <v>0</v>
      </c>
      <c r="N42" s="22"/>
      <c r="O42" s="17"/>
      <c r="P42" s="24"/>
      <c r="Q42" s="22"/>
    </row>
    <row r="43" ht="15.75" hidden="1" customHeight="1">
      <c r="A43" s="33" t="s">
        <v>200</v>
      </c>
      <c r="B43" s="33" t="s">
        <v>332</v>
      </c>
      <c r="C43" s="26" t="s">
        <v>333</v>
      </c>
      <c r="D43" s="15" t="s">
        <v>60</v>
      </c>
      <c r="E43" s="35"/>
      <c r="F43" s="33" t="s">
        <v>38</v>
      </c>
      <c r="G43" s="22"/>
      <c r="H43" s="33" t="s">
        <v>72</v>
      </c>
      <c r="I43" s="17"/>
      <c r="J43" s="24"/>
      <c r="K43" s="24"/>
      <c r="L43" s="35"/>
      <c r="M43" s="19">
        <f t="shared" si="2"/>
        <v>0</v>
      </c>
      <c r="N43" s="22"/>
      <c r="O43" s="17"/>
      <c r="P43" s="24"/>
      <c r="Q43" s="22"/>
    </row>
    <row r="44" ht="15.75" hidden="1" customHeight="1">
      <c r="A44" s="26" t="s">
        <v>165</v>
      </c>
      <c r="B44" s="33" t="s">
        <v>334</v>
      </c>
      <c r="C44" s="26" t="s">
        <v>335</v>
      </c>
      <c r="D44" s="15" t="s">
        <v>60</v>
      </c>
      <c r="E44" s="35"/>
      <c r="F44" s="33" t="s">
        <v>38</v>
      </c>
      <c r="G44" s="22"/>
      <c r="H44" s="33" t="s">
        <v>88</v>
      </c>
      <c r="I44" s="17"/>
      <c r="J44" s="24"/>
      <c r="K44" s="24"/>
      <c r="L44" s="35"/>
      <c r="M44" s="19">
        <f t="shared" si="2"/>
        <v>0</v>
      </c>
      <c r="N44" s="22"/>
      <c r="O44" s="17"/>
      <c r="P44" s="24"/>
      <c r="Q44" s="22"/>
    </row>
    <row r="45" ht="15.75" hidden="1" customHeight="1">
      <c r="A45" s="9"/>
      <c r="B45" s="33" t="s">
        <v>336</v>
      </c>
      <c r="C45" s="26" t="s">
        <v>337</v>
      </c>
      <c r="D45" s="15" t="s">
        <v>60</v>
      </c>
      <c r="E45" s="35"/>
      <c r="F45" s="33" t="s">
        <v>38</v>
      </c>
      <c r="G45" s="22"/>
      <c r="H45" s="33" t="s">
        <v>88</v>
      </c>
      <c r="I45" s="17"/>
      <c r="J45" s="24"/>
      <c r="K45" s="24"/>
      <c r="L45" s="35"/>
      <c r="M45" s="19">
        <f>IF($A44="","",IF($F45="done",0,MAX($E45-$L45,0)))</f>
        <v>0</v>
      </c>
      <c r="N45" s="22"/>
      <c r="O45" s="17"/>
      <c r="P45" s="24"/>
      <c r="Q45" s="22"/>
    </row>
    <row r="46" ht="15.75" customHeight="1">
      <c r="A46" s="33" t="s">
        <v>207</v>
      </c>
      <c r="B46" s="33" t="s">
        <v>338</v>
      </c>
      <c r="C46" s="26" t="s">
        <v>339</v>
      </c>
      <c r="D46" s="15" t="s">
        <v>89</v>
      </c>
      <c r="E46" s="35"/>
      <c r="F46" s="33" t="s">
        <v>38</v>
      </c>
      <c r="G46" s="22"/>
      <c r="H46" s="33" t="s">
        <v>88</v>
      </c>
      <c r="I46" s="17"/>
      <c r="J46" s="24"/>
      <c r="K46" s="24"/>
      <c r="L46" s="35"/>
      <c r="M46" s="19">
        <f t="shared" ref="M46:M159" si="3">IF($C46="","",IF($F46="done",0,MAX($E46-$L46,0)))</f>
        <v>0</v>
      </c>
      <c r="N46" s="22"/>
      <c r="O46" s="17"/>
      <c r="P46" s="24"/>
      <c r="Q46" s="22"/>
    </row>
    <row r="47" ht="15.75" customHeight="1">
      <c r="A47" s="33" t="s">
        <v>207</v>
      </c>
      <c r="B47" s="33" t="s">
        <v>340</v>
      </c>
      <c r="C47" s="26" t="s">
        <v>341</v>
      </c>
      <c r="D47" s="15" t="s">
        <v>89</v>
      </c>
      <c r="E47" s="35"/>
      <c r="F47" s="33" t="s">
        <v>38</v>
      </c>
      <c r="G47" s="22"/>
      <c r="H47" s="33" t="s">
        <v>88</v>
      </c>
      <c r="I47" s="17"/>
      <c r="J47" s="24"/>
      <c r="K47" s="24"/>
      <c r="L47" s="35"/>
      <c r="M47" s="19">
        <f t="shared" si="3"/>
        <v>0</v>
      </c>
      <c r="N47" s="22"/>
      <c r="O47" s="17"/>
      <c r="P47" s="24"/>
      <c r="Q47" s="22"/>
    </row>
    <row r="48" ht="15.75" customHeight="1">
      <c r="A48" s="33" t="s">
        <v>226</v>
      </c>
      <c r="B48" s="33" t="s">
        <v>342</v>
      </c>
      <c r="C48" s="26" t="s">
        <v>343</v>
      </c>
      <c r="D48" s="15" t="s">
        <v>89</v>
      </c>
      <c r="E48" s="35"/>
      <c r="F48" s="33" t="s">
        <v>38</v>
      </c>
      <c r="G48" s="22"/>
      <c r="H48" s="33" t="s">
        <v>88</v>
      </c>
      <c r="I48" s="17"/>
      <c r="J48" s="24"/>
      <c r="K48" s="24"/>
      <c r="L48" s="35"/>
      <c r="M48" s="19">
        <f t="shared" si="3"/>
        <v>0</v>
      </c>
      <c r="N48" s="22"/>
      <c r="O48" s="17"/>
      <c r="P48" s="24"/>
      <c r="Q48" s="22"/>
    </row>
    <row r="49" ht="15.75" customHeight="1">
      <c r="A49" s="33" t="s">
        <v>226</v>
      </c>
      <c r="B49" s="33" t="s">
        <v>344</v>
      </c>
      <c r="C49" s="26" t="s">
        <v>345</v>
      </c>
      <c r="D49" s="15" t="s">
        <v>89</v>
      </c>
      <c r="E49" s="35"/>
      <c r="F49" s="33" t="s">
        <v>38</v>
      </c>
      <c r="G49" s="22"/>
      <c r="H49" s="33" t="s">
        <v>88</v>
      </c>
      <c r="I49" s="17"/>
      <c r="J49" s="24"/>
      <c r="K49" s="24"/>
      <c r="L49" s="35"/>
      <c r="M49" s="19">
        <f t="shared" si="3"/>
        <v>0</v>
      </c>
      <c r="N49" s="22"/>
      <c r="O49" s="17"/>
      <c r="P49" s="24"/>
      <c r="Q49" s="22"/>
    </row>
    <row r="50" ht="15.75" hidden="1" customHeight="1">
      <c r="A50" s="33" t="s">
        <v>236</v>
      </c>
      <c r="B50" s="33" t="s">
        <v>346</v>
      </c>
      <c r="C50" s="26" t="s">
        <v>347</v>
      </c>
      <c r="D50" s="15" t="s">
        <v>58</v>
      </c>
      <c r="E50" s="35"/>
      <c r="F50" s="33" t="s">
        <v>38</v>
      </c>
      <c r="G50" s="22"/>
      <c r="H50" s="33" t="s">
        <v>88</v>
      </c>
      <c r="I50" s="17"/>
      <c r="J50" s="24"/>
      <c r="K50" s="24"/>
      <c r="L50" s="35"/>
      <c r="M50" s="19">
        <f t="shared" si="3"/>
        <v>0</v>
      </c>
      <c r="N50" s="22"/>
      <c r="O50" s="17"/>
      <c r="P50" s="24"/>
      <c r="Q50" s="22"/>
    </row>
    <row r="51" ht="15.75" hidden="1" customHeight="1">
      <c r="A51" s="33" t="s">
        <v>236</v>
      </c>
      <c r="B51" s="33" t="s">
        <v>348</v>
      </c>
      <c r="C51" s="26" t="s">
        <v>349</v>
      </c>
      <c r="D51" s="15" t="s">
        <v>58</v>
      </c>
      <c r="E51" s="35"/>
      <c r="F51" s="33" t="s">
        <v>38</v>
      </c>
      <c r="G51" s="22"/>
      <c r="H51" s="33" t="s">
        <v>88</v>
      </c>
      <c r="I51" s="17"/>
      <c r="J51" s="24"/>
      <c r="K51" s="24"/>
      <c r="L51" s="35"/>
      <c r="M51" s="19">
        <f t="shared" si="3"/>
        <v>0</v>
      </c>
      <c r="N51" s="22"/>
      <c r="O51" s="17"/>
      <c r="P51" s="24"/>
      <c r="Q51" s="22"/>
    </row>
    <row r="52" ht="15.75" hidden="1" customHeight="1">
      <c r="A52" s="33" t="s">
        <v>292</v>
      </c>
      <c r="B52" s="33" t="s">
        <v>350</v>
      </c>
      <c r="C52" s="26" t="s">
        <v>351</v>
      </c>
      <c r="D52" s="15" t="s">
        <v>60</v>
      </c>
      <c r="E52" s="35"/>
      <c r="F52" s="33" t="s">
        <v>38</v>
      </c>
      <c r="G52" s="22"/>
      <c r="H52" s="33" t="s">
        <v>88</v>
      </c>
      <c r="I52" s="17"/>
      <c r="J52" s="24"/>
      <c r="K52" s="24"/>
      <c r="L52" s="35"/>
      <c r="M52" s="19">
        <f t="shared" si="3"/>
        <v>0</v>
      </c>
      <c r="N52" s="22"/>
      <c r="O52" s="17"/>
      <c r="P52" s="24"/>
      <c r="Q52" s="22"/>
    </row>
    <row r="53" ht="15.75" hidden="1" customHeight="1">
      <c r="A53" s="33" t="s">
        <v>292</v>
      </c>
      <c r="B53" s="33" t="s">
        <v>352</v>
      </c>
      <c r="C53" s="26" t="s">
        <v>353</v>
      </c>
      <c r="D53" s="15" t="s">
        <v>60</v>
      </c>
      <c r="E53" s="35"/>
      <c r="F53" s="33" t="s">
        <v>38</v>
      </c>
      <c r="G53" s="22"/>
      <c r="H53" s="33" t="s">
        <v>88</v>
      </c>
      <c r="I53" s="17"/>
      <c r="J53" s="24"/>
      <c r="K53" s="24"/>
      <c r="L53" s="35"/>
      <c r="M53" s="19">
        <f t="shared" si="3"/>
        <v>0</v>
      </c>
      <c r="N53" s="22"/>
      <c r="O53" s="17"/>
      <c r="P53" s="24"/>
      <c r="Q53" s="22"/>
    </row>
    <row r="54" ht="15.75" hidden="1" customHeight="1">
      <c r="A54" s="33" t="s">
        <v>265</v>
      </c>
      <c r="B54" s="33" t="s">
        <v>354</v>
      </c>
      <c r="C54" s="26" t="s">
        <v>355</v>
      </c>
      <c r="D54" s="15" t="s">
        <v>60</v>
      </c>
      <c r="E54" s="35"/>
      <c r="F54" s="33" t="s">
        <v>38</v>
      </c>
      <c r="G54" s="22"/>
      <c r="H54" s="33" t="s">
        <v>88</v>
      </c>
      <c r="I54" s="17"/>
      <c r="J54" s="24"/>
      <c r="K54" s="24"/>
      <c r="L54" s="35"/>
      <c r="M54" s="19">
        <f t="shared" si="3"/>
        <v>0</v>
      </c>
      <c r="N54" s="22"/>
      <c r="O54" s="17"/>
      <c r="P54" s="24"/>
      <c r="Q54" s="22"/>
    </row>
    <row r="55" ht="15.75" hidden="1" customHeight="1">
      <c r="A55" s="33" t="s">
        <v>265</v>
      </c>
      <c r="B55" s="33" t="s">
        <v>356</v>
      </c>
      <c r="C55" s="26" t="s">
        <v>357</v>
      </c>
      <c r="D55" s="15" t="s">
        <v>60</v>
      </c>
      <c r="E55" s="35"/>
      <c r="F55" s="33" t="s">
        <v>38</v>
      </c>
      <c r="G55" s="22"/>
      <c r="H55" s="33" t="s">
        <v>88</v>
      </c>
      <c r="I55" s="17"/>
      <c r="J55" s="24"/>
      <c r="K55" s="24"/>
      <c r="L55" s="35"/>
      <c r="M55" s="19">
        <f t="shared" si="3"/>
        <v>0</v>
      </c>
      <c r="N55" s="22"/>
      <c r="O55" s="17"/>
      <c r="P55" s="24"/>
      <c r="Q55" s="22"/>
    </row>
    <row r="56" ht="15.75" hidden="1" customHeight="1">
      <c r="A56" s="9"/>
      <c r="B56" s="9"/>
      <c r="C56" s="22"/>
      <c r="D56" s="17"/>
      <c r="E56" s="35"/>
      <c r="F56" s="9"/>
      <c r="G56" s="22"/>
      <c r="H56" s="9"/>
      <c r="I56" s="17"/>
      <c r="J56" s="24"/>
      <c r="K56" s="24"/>
      <c r="L56" s="35"/>
      <c r="M56" s="19" t="str">
        <f t="shared" si="3"/>
        <v/>
      </c>
      <c r="N56" s="22"/>
      <c r="O56" s="17"/>
      <c r="P56" s="24"/>
      <c r="Q56" s="22"/>
    </row>
    <row r="57" ht="15.75" hidden="1" customHeight="1">
      <c r="A57" s="9"/>
      <c r="B57" s="9"/>
      <c r="C57" s="22"/>
      <c r="D57" s="17"/>
      <c r="E57" s="35"/>
      <c r="F57" s="9"/>
      <c r="G57" s="22"/>
      <c r="H57" s="9"/>
      <c r="I57" s="17"/>
      <c r="J57" s="24"/>
      <c r="K57" s="24"/>
      <c r="L57" s="35"/>
      <c r="M57" s="19" t="str">
        <f t="shared" si="3"/>
        <v/>
      </c>
      <c r="N57" s="22"/>
      <c r="O57" s="17"/>
      <c r="P57" s="24"/>
      <c r="Q57" s="22"/>
    </row>
    <row r="58" ht="15.75" hidden="1" customHeight="1">
      <c r="A58" s="9"/>
      <c r="B58" s="9"/>
      <c r="C58" s="22"/>
      <c r="D58" s="17"/>
      <c r="E58" s="35"/>
      <c r="F58" s="9"/>
      <c r="G58" s="22"/>
      <c r="H58" s="9"/>
      <c r="I58" s="17"/>
      <c r="J58" s="24"/>
      <c r="K58" s="24"/>
      <c r="L58" s="35"/>
      <c r="M58" s="19" t="str">
        <f t="shared" si="3"/>
        <v/>
      </c>
      <c r="N58" s="22"/>
      <c r="O58" s="17"/>
      <c r="P58" s="24"/>
      <c r="Q58" s="22"/>
    </row>
    <row r="59" ht="15.75" hidden="1" customHeight="1">
      <c r="A59" s="9"/>
      <c r="B59" s="9"/>
      <c r="C59" s="22"/>
      <c r="D59" s="17"/>
      <c r="E59" s="35"/>
      <c r="F59" s="9"/>
      <c r="G59" s="22"/>
      <c r="H59" s="9"/>
      <c r="I59" s="17"/>
      <c r="J59" s="24"/>
      <c r="K59" s="24"/>
      <c r="L59" s="35"/>
      <c r="M59" s="19" t="str">
        <f t="shared" si="3"/>
        <v/>
      </c>
      <c r="N59" s="22"/>
      <c r="O59" s="17"/>
      <c r="P59" s="24"/>
      <c r="Q59" s="22"/>
    </row>
    <row r="60" ht="15.75" hidden="1" customHeight="1">
      <c r="A60" s="9"/>
      <c r="B60" s="9"/>
      <c r="C60" s="22"/>
      <c r="D60" s="17"/>
      <c r="E60" s="35"/>
      <c r="F60" s="9"/>
      <c r="G60" s="22"/>
      <c r="H60" s="9"/>
      <c r="I60" s="17"/>
      <c r="J60" s="24"/>
      <c r="K60" s="24"/>
      <c r="L60" s="35"/>
      <c r="M60" s="19" t="str">
        <f t="shared" si="3"/>
        <v/>
      </c>
      <c r="N60" s="22"/>
      <c r="O60" s="17"/>
      <c r="P60" s="24"/>
      <c r="Q60" s="22"/>
    </row>
    <row r="61" ht="15.75" hidden="1" customHeight="1">
      <c r="A61" s="9"/>
      <c r="B61" s="9"/>
      <c r="C61" s="22"/>
      <c r="D61" s="17"/>
      <c r="E61" s="35"/>
      <c r="F61" s="9"/>
      <c r="G61" s="22"/>
      <c r="H61" s="9"/>
      <c r="I61" s="17"/>
      <c r="J61" s="24"/>
      <c r="K61" s="24"/>
      <c r="L61" s="35"/>
      <c r="M61" s="19" t="str">
        <f t="shared" si="3"/>
        <v/>
      </c>
      <c r="N61" s="22"/>
      <c r="O61" s="17"/>
      <c r="P61" s="24"/>
      <c r="Q61" s="22"/>
    </row>
    <row r="62" ht="15.75" hidden="1" customHeight="1">
      <c r="A62" s="9"/>
      <c r="B62" s="9"/>
      <c r="C62" s="22"/>
      <c r="D62" s="17"/>
      <c r="E62" s="35"/>
      <c r="F62" s="9"/>
      <c r="G62" s="22"/>
      <c r="H62" s="9"/>
      <c r="I62" s="17"/>
      <c r="J62" s="24"/>
      <c r="K62" s="24"/>
      <c r="L62" s="35"/>
      <c r="M62" s="19" t="str">
        <f t="shared" si="3"/>
        <v/>
      </c>
      <c r="N62" s="22"/>
      <c r="O62" s="17"/>
      <c r="P62" s="24"/>
      <c r="Q62" s="22"/>
    </row>
    <row r="63" ht="15.75" hidden="1" customHeight="1">
      <c r="A63" s="9"/>
      <c r="B63" s="9"/>
      <c r="C63" s="22"/>
      <c r="D63" s="17"/>
      <c r="E63" s="35"/>
      <c r="F63" s="9"/>
      <c r="G63" s="22"/>
      <c r="H63" s="9"/>
      <c r="I63" s="17"/>
      <c r="J63" s="24"/>
      <c r="K63" s="24"/>
      <c r="L63" s="35"/>
      <c r="M63" s="19" t="str">
        <f t="shared" si="3"/>
        <v/>
      </c>
      <c r="N63" s="22"/>
      <c r="O63" s="17"/>
      <c r="P63" s="24"/>
      <c r="Q63" s="22"/>
    </row>
    <row r="64" ht="15.75" hidden="1" customHeight="1">
      <c r="A64" s="9"/>
      <c r="B64" s="9"/>
      <c r="C64" s="22"/>
      <c r="D64" s="17"/>
      <c r="E64" s="35"/>
      <c r="F64" s="9"/>
      <c r="G64" s="22"/>
      <c r="H64" s="9"/>
      <c r="I64" s="17"/>
      <c r="J64" s="24"/>
      <c r="K64" s="24"/>
      <c r="L64" s="35"/>
      <c r="M64" s="19" t="str">
        <f t="shared" si="3"/>
        <v/>
      </c>
      <c r="N64" s="22"/>
      <c r="O64" s="17"/>
      <c r="P64" s="24"/>
      <c r="Q64" s="22"/>
    </row>
    <row r="65" ht="15.75" hidden="1" customHeight="1">
      <c r="A65" s="9"/>
      <c r="B65" s="9"/>
      <c r="C65" s="22"/>
      <c r="D65" s="17"/>
      <c r="E65" s="35"/>
      <c r="F65" s="9"/>
      <c r="G65" s="22"/>
      <c r="H65" s="9"/>
      <c r="I65" s="17"/>
      <c r="J65" s="24"/>
      <c r="K65" s="24"/>
      <c r="L65" s="35"/>
      <c r="M65" s="19" t="str">
        <f t="shared" si="3"/>
        <v/>
      </c>
      <c r="N65" s="22"/>
      <c r="O65" s="17"/>
      <c r="P65" s="24"/>
      <c r="Q65" s="22"/>
    </row>
    <row r="66" ht="15.75" hidden="1" customHeight="1">
      <c r="A66" s="9"/>
      <c r="B66" s="9"/>
      <c r="C66" s="22"/>
      <c r="D66" s="17"/>
      <c r="E66" s="35"/>
      <c r="F66" s="9"/>
      <c r="G66" s="22"/>
      <c r="H66" s="9"/>
      <c r="I66" s="17"/>
      <c r="J66" s="24"/>
      <c r="K66" s="24"/>
      <c r="L66" s="35"/>
      <c r="M66" s="19" t="str">
        <f t="shared" si="3"/>
        <v/>
      </c>
      <c r="N66" s="22"/>
      <c r="O66" s="17"/>
      <c r="P66" s="24"/>
      <c r="Q66" s="22"/>
    </row>
    <row r="67" ht="15.75" hidden="1" customHeight="1">
      <c r="A67" s="9"/>
      <c r="B67" s="9"/>
      <c r="C67" s="22"/>
      <c r="D67" s="17"/>
      <c r="E67" s="35"/>
      <c r="F67" s="9"/>
      <c r="G67" s="22"/>
      <c r="H67" s="9"/>
      <c r="I67" s="17"/>
      <c r="J67" s="24"/>
      <c r="K67" s="24"/>
      <c r="L67" s="35"/>
      <c r="M67" s="19" t="str">
        <f t="shared" si="3"/>
        <v/>
      </c>
      <c r="N67" s="22"/>
      <c r="O67" s="17"/>
      <c r="P67" s="24"/>
      <c r="Q67" s="22"/>
    </row>
    <row r="68" ht="15.75" hidden="1" customHeight="1">
      <c r="A68" s="9"/>
      <c r="B68" s="9"/>
      <c r="C68" s="22"/>
      <c r="D68" s="17"/>
      <c r="E68" s="35"/>
      <c r="F68" s="9"/>
      <c r="G68" s="22"/>
      <c r="H68" s="9"/>
      <c r="I68" s="17"/>
      <c r="J68" s="24"/>
      <c r="K68" s="24"/>
      <c r="L68" s="35"/>
      <c r="M68" s="19" t="str">
        <f t="shared" si="3"/>
        <v/>
      </c>
      <c r="N68" s="22"/>
      <c r="O68" s="17"/>
      <c r="P68" s="24"/>
      <c r="Q68" s="22"/>
    </row>
    <row r="69" ht="15.75" hidden="1" customHeight="1">
      <c r="A69" s="9"/>
      <c r="B69" s="9"/>
      <c r="C69" s="22"/>
      <c r="D69" s="17"/>
      <c r="E69" s="35"/>
      <c r="F69" s="9"/>
      <c r="G69" s="22"/>
      <c r="H69" s="9"/>
      <c r="I69" s="17"/>
      <c r="J69" s="24"/>
      <c r="K69" s="24"/>
      <c r="L69" s="35"/>
      <c r="M69" s="19" t="str">
        <f t="shared" si="3"/>
        <v/>
      </c>
      <c r="N69" s="22"/>
      <c r="O69" s="17"/>
      <c r="P69" s="24"/>
      <c r="Q69" s="22"/>
    </row>
    <row r="70" ht="15.75" hidden="1" customHeight="1">
      <c r="A70" s="9"/>
      <c r="B70" s="9"/>
      <c r="C70" s="22"/>
      <c r="D70" s="17"/>
      <c r="E70" s="35"/>
      <c r="F70" s="9"/>
      <c r="G70" s="22"/>
      <c r="H70" s="9"/>
      <c r="I70" s="17"/>
      <c r="J70" s="24"/>
      <c r="K70" s="24"/>
      <c r="L70" s="35"/>
      <c r="M70" s="19" t="str">
        <f t="shared" si="3"/>
        <v/>
      </c>
      <c r="N70" s="22"/>
      <c r="O70" s="17"/>
      <c r="P70" s="24"/>
      <c r="Q70" s="22"/>
    </row>
    <row r="71" ht="15.75" hidden="1" customHeight="1">
      <c r="A71" s="9"/>
      <c r="B71" s="9"/>
      <c r="C71" s="22"/>
      <c r="D71" s="17"/>
      <c r="E71" s="35"/>
      <c r="F71" s="9"/>
      <c r="G71" s="22"/>
      <c r="H71" s="9"/>
      <c r="I71" s="17"/>
      <c r="J71" s="24"/>
      <c r="K71" s="24"/>
      <c r="L71" s="35"/>
      <c r="M71" s="19" t="str">
        <f t="shared" si="3"/>
        <v/>
      </c>
      <c r="N71" s="22"/>
      <c r="O71" s="17"/>
      <c r="P71" s="24"/>
      <c r="Q71" s="22"/>
    </row>
    <row r="72" ht="15.75" hidden="1" customHeight="1">
      <c r="A72" s="9"/>
      <c r="B72" s="9"/>
      <c r="C72" s="22"/>
      <c r="D72" s="17"/>
      <c r="E72" s="35"/>
      <c r="F72" s="9"/>
      <c r="G72" s="22"/>
      <c r="H72" s="9"/>
      <c r="I72" s="17"/>
      <c r="J72" s="24"/>
      <c r="K72" s="24"/>
      <c r="L72" s="35"/>
      <c r="M72" s="19" t="str">
        <f t="shared" si="3"/>
        <v/>
      </c>
      <c r="N72" s="22"/>
      <c r="O72" s="17"/>
      <c r="P72" s="24"/>
      <c r="Q72" s="22"/>
    </row>
    <row r="73" ht="15.75" hidden="1" customHeight="1">
      <c r="A73" s="9"/>
      <c r="B73" s="9"/>
      <c r="C73" s="22"/>
      <c r="D73" s="17"/>
      <c r="E73" s="35"/>
      <c r="F73" s="9"/>
      <c r="G73" s="22"/>
      <c r="H73" s="9"/>
      <c r="I73" s="17"/>
      <c r="J73" s="24"/>
      <c r="K73" s="24"/>
      <c r="L73" s="35"/>
      <c r="M73" s="19" t="str">
        <f t="shared" si="3"/>
        <v/>
      </c>
      <c r="N73" s="22"/>
      <c r="O73" s="17"/>
      <c r="P73" s="24"/>
      <c r="Q73" s="22"/>
    </row>
    <row r="74" ht="15.75" hidden="1" customHeight="1">
      <c r="A74" s="9"/>
      <c r="B74" s="9"/>
      <c r="C74" s="22"/>
      <c r="D74" s="17"/>
      <c r="E74" s="35"/>
      <c r="F74" s="9"/>
      <c r="G74" s="22"/>
      <c r="H74" s="9"/>
      <c r="I74" s="17"/>
      <c r="J74" s="24"/>
      <c r="K74" s="24"/>
      <c r="L74" s="35"/>
      <c r="M74" s="19" t="str">
        <f t="shared" si="3"/>
        <v/>
      </c>
      <c r="N74" s="22"/>
      <c r="O74" s="17"/>
      <c r="P74" s="24"/>
      <c r="Q74" s="22"/>
    </row>
    <row r="75" ht="15.75" hidden="1" customHeight="1">
      <c r="A75" s="9"/>
      <c r="B75" s="9"/>
      <c r="C75" s="22"/>
      <c r="D75" s="17"/>
      <c r="E75" s="35"/>
      <c r="F75" s="9"/>
      <c r="G75" s="22"/>
      <c r="H75" s="9"/>
      <c r="I75" s="17"/>
      <c r="J75" s="24"/>
      <c r="K75" s="24"/>
      <c r="L75" s="35"/>
      <c r="M75" s="19" t="str">
        <f t="shared" si="3"/>
        <v/>
      </c>
      <c r="N75" s="22"/>
      <c r="O75" s="17"/>
      <c r="P75" s="24"/>
      <c r="Q75" s="22"/>
    </row>
    <row r="76" ht="15.75" hidden="1" customHeight="1">
      <c r="A76" s="9"/>
      <c r="B76" s="9"/>
      <c r="C76" s="22"/>
      <c r="D76" s="17"/>
      <c r="E76" s="35"/>
      <c r="F76" s="9"/>
      <c r="G76" s="22"/>
      <c r="H76" s="9"/>
      <c r="I76" s="17"/>
      <c r="J76" s="24"/>
      <c r="K76" s="24"/>
      <c r="L76" s="35"/>
      <c r="M76" s="19" t="str">
        <f t="shared" si="3"/>
        <v/>
      </c>
      <c r="N76" s="22"/>
      <c r="O76" s="17"/>
      <c r="P76" s="24"/>
      <c r="Q76" s="22"/>
    </row>
    <row r="77" ht="15.75" hidden="1" customHeight="1">
      <c r="A77" s="9"/>
      <c r="B77" s="9"/>
      <c r="C77" s="22"/>
      <c r="D77" s="17"/>
      <c r="E77" s="35"/>
      <c r="F77" s="9"/>
      <c r="G77" s="22"/>
      <c r="H77" s="9"/>
      <c r="I77" s="17"/>
      <c r="J77" s="24"/>
      <c r="K77" s="24"/>
      <c r="L77" s="35"/>
      <c r="M77" s="19" t="str">
        <f t="shared" si="3"/>
        <v/>
      </c>
      <c r="N77" s="22"/>
      <c r="O77" s="17"/>
      <c r="P77" s="24"/>
      <c r="Q77" s="22"/>
    </row>
    <row r="78" ht="15.75" hidden="1" customHeight="1">
      <c r="A78" s="9"/>
      <c r="B78" s="9"/>
      <c r="C78" s="22"/>
      <c r="D78" s="17"/>
      <c r="E78" s="35"/>
      <c r="F78" s="9"/>
      <c r="G78" s="22"/>
      <c r="H78" s="9"/>
      <c r="I78" s="17"/>
      <c r="J78" s="24"/>
      <c r="K78" s="24"/>
      <c r="L78" s="35"/>
      <c r="M78" s="19" t="str">
        <f t="shared" si="3"/>
        <v/>
      </c>
      <c r="N78" s="22"/>
      <c r="O78" s="17"/>
      <c r="P78" s="24"/>
      <c r="Q78" s="22"/>
    </row>
    <row r="79" ht="15.75" hidden="1" customHeight="1">
      <c r="A79" s="9"/>
      <c r="B79" s="9"/>
      <c r="C79" s="22"/>
      <c r="D79" s="17"/>
      <c r="E79" s="35"/>
      <c r="F79" s="9"/>
      <c r="G79" s="22"/>
      <c r="H79" s="9"/>
      <c r="I79" s="17"/>
      <c r="J79" s="24"/>
      <c r="K79" s="24"/>
      <c r="L79" s="35"/>
      <c r="M79" s="19" t="str">
        <f t="shared" si="3"/>
        <v/>
      </c>
      <c r="N79" s="22"/>
      <c r="O79" s="17"/>
      <c r="P79" s="24"/>
      <c r="Q79" s="22"/>
    </row>
    <row r="80" ht="15.75" hidden="1" customHeight="1">
      <c r="A80" s="9"/>
      <c r="B80" s="9"/>
      <c r="C80" s="22"/>
      <c r="D80" s="17"/>
      <c r="E80" s="35"/>
      <c r="F80" s="9"/>
      <c r="G80" s="22"/>
      <c r="H80" s="9"/>
      <c r="I80" s="17"/>
      <c r="J80" s="24"/>
      <c r="K80" s="24"/>
      <c r="L80" s="35"/>
      <c r="M80" s="19" t="str">
        <f t="shared" si="3"/>
        <v/>
      </c>
      <c r="N80" s="22"/>
      <c r="O80" s="17"/>
      <c r="P80" s="24"/>
      <c r="Q80" s="22"/>
    </row>
    <row r="81" ht="15.75" hidden="1" customHeight="1">
      <c r="A81" s="9"/>
      <c r="B81" s="9"/>
      <c r="C81" s="22"/>
      <c r="D81" s="17"/>
      <c r="E81" s="35"/>
      <c r="F81" s="9"/>
      <c r="G81" s="22"/>
      <c r="H81" s="9"/>
      <c r="I81" s="17"/>
      <c r="J81" s="24"/>
      <c r="K81" s="24"/>
      <c r="L81" s="35"/>
      <c r="M81" s="19" t="str">
        <f t="shared" si="3"/>
        <v/>
      </c>
      <c r="N81" s="22"/>
      <c r="O81" s="17"/>
      <c r="P81" s="24"/>
      <c r="Q81" s="22"/>
    </row>
    <row r="82" ht="15.75" hidden="1" customHeight="1">
      <c r="A82" s="9"/>
      <c r="B82" s="9"/>
      <c r="C82" s="22"/>
      <c r="D82" s="17"/>
      <c r="E82" s="35"/>
      <c r="F82" s="9"/>
      <c r="G82" s="22"/>
      <c r="H82" s="9"/>
      <c r="I82" s="17"/>
      <c r="J82" s="24"/>
      <c r="K82" s="24"/>
      <c r="L82" s="35"/>
      <c r="M82" s="19" t="str">
        <f t="shared" si="3"/>
        <v/>
      </c>
      <c r="N82" s="22"/>
      <c r="O82" s="17"/>
      <c r="P82" s="24"/>
      <c r="Q82" s="22"/>
    </row>
    <row r="83" ht="15.75" hidden="1" customHeight="1">
      <c r="A83" s="9"/>
      <c r="B83" s="9"/>
      <c r="C83" s="22"/>
      <c r="D83" s="17"/>
      <c r="E83" s="35"/>
      <c r="F83" s="9"/>
      <c r="G83" s="22"/>
      <c r="H83" s="9"/>
      <c r="I83" s="17"/>
      <c r="J83" s="24"/>
      <c r="K83" s="24"/>
      <c r="L83" s="35"/>
      <c r="M83" s="19" t="str">
        <f t="shared" si="3"/>
        <v/>
      </c>
      <c r="N83" s="22"/>
      <c r="O83" s="17"/>
      <c r="P83" s="24"/>
      <c r="Q83" s="22"/>
    </row>
    <row r="84" ht="15.75" hidden="1" customHeight="1">
      <c r="A84" s="9"/>
      <c r="B84" s="9"/>
      <c r="C84" s="22"/>
      <c r="D84" s="17"/>
      <c r="E84" s="35"/>
      <c r="F84" s="9"/>
      <c r="G84" s="22"/>
      <c r="H84" s="9"/>
      <c r="I84" s="17"/>
      <c r="J84" s="24"/>
      <c r="K84" s="24"/>
      <c r="L84" s="35"/>
      <c r="M84" s="19" t="str">
        <f t="shared" si="3"/>
        <v/>
      </c>
      <c r="N84" s="22"/>
      <c r="O84" s="17"/>
      <c r="P84" s="24"/>
      <c r="Q84" s="22"/>
    </row>
    <row r="85" ht="15.75" hidden="1" customHeight="1">
      <c r="A85" s="9"/>
      <c r="B85" s="9"/>
      <c r="C85" s="22"/>
      <c r="D85" s="17"/>
      <c r="E85" s="35"/>
      <c r="F85" s="9"/>
      <c r="G85" s="22"/>
      <c r="H85" s="9"/>
      <c r="I85" s="17"/>
      <c r="J85" s="24"/>
      <c r="K85" s="24"/>
      <c r="L85" s="35"/>
      <c r="M85" s="19" t="str">
        <f t="shared" si="3"/>
        <v/>
      </c>
      <c r="N85" s="22"/>
      <c r="O85" s="17"/>
      <c r="P85" s="24"/>
      <c r="Q85" s="22"/>
    </row>
    <row r="86" ht="15.75" hidden="1" customHeight="1">
      <c r="A86" s="9"/>
      <c r="B86" s="9"/>
      <c r="C86" s="22"/>
      <c r="D86" s="17"/>
      <c r="E86" s="35"/>
      <c r="F86" s="9"/>
      <c r="G86" s="22"/>
      <c r="H86" s="9"/>
      <c r="I86" s="17"/>
      <c r="J86" s="24"/>
      <c r="K86" s="24"/>
      <c r="L86" s="35"/>
      <c r="M86" s="19" t="str">
        <f t="shared" si="3"/>
        <v/>
      </c>
      <c r="N86" s="22"/>
      <c r="O86" s="17"/>
      <c r="P86" s="24"/>
      <c r="Q86" s="22"/>
    </row>
    <row r="87" ht="15.75" hidden="1" customHeight="1">
      <c r="A87" s="9"/>
      <c r="B87" s="9"/>
      <c r="C87" s="22"/>
      <c r="D87" s="17"/>
      <c r="E87" s="35"/>
      <c r="F87" s="9"/>
      <c r="G87" s="22"/>
      <c r="H87" s="9"/>
      <c r="I87" s="17"/>
      <c r="J87" s="24"/>
      <c r="K87" s="24"/>
      <c r="L87" s="35"/>
      <c r="M87" s="19" t="str">
        <f t="shared" si="3"/>
        <v/>
      </c>
      <c r="N87" s="22"/>
      <c r="O87" s="17"/>
      <c r="P87" s="24"/>
      <c r="Q87" s="22"/>
    </row>
    <row r="88" ht="15.75" hidden="1" customHeight="1">
      <c r="A88" s="9"/>
      <c r="B88" s="9"/>
      <c r="C88" s="22"/>
      <c r="D88" s="17"/>
      <c r="E88" s="35"/>
      <c r="F88" s="9"/>
      <c r="G88" s="22"/>
      <c r="H88" s="9"/>
      <c r="I88" s="17"/>
      <c r="J88" s="24"/>
      <c r="K88" s="24"/>
      <c r="L88" s="35"/>
      <c r="M88" s="19" t="str">
        <f t="shared" si="3"/>
        <v/>
      </c>
      <c r="N88" s="22"/>
      <c r="O88" s="17"/>
      <c r="P88" s="24"/>
      <c r="Q88" s="22"/>
    </row>
    <row r="89" ht="15.75" hidden="1" customHeight="1">
      <c r="A89" s="9"/>
      <c r="B89" s="9"/>
      <c r="C89" s="22"/>
      <c r="D89" s="17"/>
      <c r="E89" s="35"/>
      <c r="F89" s="9"/>
      <c r="G89" s="22"/>
      <c r="H89" s="9"/>
      <c r="I89" s="17"/>
      <c r="J89" s="24"/>
      <c r="K89" s="24"/>
      <c r="L89" s="35"/>
      <c r="M89" s="19" t="str">
        <f t="shared" si="3"/>
        <v/>
      </c>
      <c r="N89" s="22"/>
      <c r="O89" s="17"/>
      <c r="P89" s="24"/>
      <c r="Q89" s="22"/>
    </row>
    <row r="90" ht="15.75" hidden="1" customHeight="1">
      <c r="A90" s="9"/>
      <c r="B90" s="9"/>
      <c r="C90" s="22"/>
      <c r="D90" s="17"/>
      <c r="E90" s="35"/>
      <c r="F90" s="9"/>
      <c r="G90" s="22"/>
      <c r="H90" s="9"/>
      <c r="I90" s="17"/>
      <c r="J90" s="24"/>
      <c r="K90" s="24"/>
      <c r="L90" s="35"/>
      <c r="M90" s="19" t="str">
        <f t="shared" si="3"/>
        <v/>
      </c>
      <c r="N90" s="22"/>
      <c r="O90" s="17"/>
      <c r="P90" s="24"/>
      <c r="Q90" s="22"/>
    </row>
    <row r="91" ht="15.75" hidden="1" customHeight="1">
      <c r="A91" s="9"/>
      <c r="B91" s="9"/>
      <c r="C91" s="22"/>
      <c r="D91" s="17"/>
      <c r="E91" s="35"/>
      <c r="F91" s="9"/>
      <c r="G91" s="22"/>
      <c r="H91" s="9"/>
      <c r="I91" s="17"/>
      <c r="J91" s="24"/>
      <c r="K91" s="24"/>
      <c r="L91" s="35"/>
      <c r="M91" s="19" t="str">
        <f t="shared" si="3"/>
        <v/>
      </c>
      <c r="N91" s="22"/>
      <c r="O91" s="17"/>
      <c r="P91" s="24"/>
      <c r="Q91" s="22"/>
    </row>
    <row r="92" ht="15.75" hidden="1" customHeight="1">
      <c r="A92" s="9"/>
      <c r="B92" s="9"/>
      <c r="C92" s="22"/>
      <c r="D92" s="17"/>
      <c r="E92" s="35"/>
      <c r="F92" s="9"/>
      <c r="G92" s="22"/>
      <c r="H92" s="9"/>
      <c r="I92" s="17"/>
      <c r="J92" s="24"/>
      <c r="K92" s="24"/>
      <c r="L92" s="35"/>
      <c r="M92" s="19" t="str">
        <f t="shared" si="3"/>
        <v/>
      </c>
      <c r="N92" s="22"/>
      <c r="O92" s="17"/>
      <c r="P92" s="24"/>
      <c r="Q92" s="22"/>
    </row>
    <row r="93" ht="15.75" hidden="1" customHeight="1">
      <c r="A93" s="9"/>
      <c r="B93" s="9"/>
      <c r="C93" s="22"/>
      <c r="D93" s="17"/>
      <c r="E93" s="35"/>
      <c r="F93" s="9"/>
      <c r="G93" s="22"/>
      <c r="H93" s="9"/>
      <c r="I93" s="17"/>
      <c r="J93" s="24"/>
      <c r="K93" s="24"/>
      <c r="L93" s="35"/>
      <c r="M93" s="19" t="str">
        <f t="shared" si="3"/>
        <v/>
      </c>
      <c r="N93" s="22"/>
      <c r="O93" s="17"/>
      <c r="P93" s="24"/>
      <c r="Q93" s="22"/>
    </row>
    <row r="94" ht="15.75" hidden="1" customHeight="1">
      <c r="A94" s="9"/>
      <c r="B94" s="9"/>
      <c r="C94" s="22"/>
      <c r="D94" s="17"/>
      <c r="E94" s="35"/>
      <c r="F94" s="9"/>
      <c r="G94" s="22"/>
      <c r="H94" s="9"/>
      <c r="I94" s="17"/>
      <c r="J94" s="24"/>
      <c r="K94" s="24"/>
      <c r="L94" s="35"/>
      <c r="M94" s="19" t="str">
        <f t="shared" si="3"/>
        <v/>
      </c>
      <c r="N94" s="22"/>
      <c r="O94" s="17"/>
      <c r="P94" s="24"/>
      <c r="Q94" s="22"/>
    </row>
    <row r="95" ht="15.75" hidden="1" customHeight="1">
      <c r="A95" s="9"/>
      <c r="B95" s="9"/>
      <c r="C95" s="22"/>
      <c r="D95" s="17"/>
      <c r="E95" s="35"/>
      <c r="F95" s="9"/>
      <c r="G95" s="22"/>
      <c r="H95" s="9"/>
      <c r="I95" s="17"/>
      <c r="J95" s="24"/>
      <c r="K95" s="24"/>
      <c r="L95" s="35"/>
      <c r="M95" s="19" t="str">
        <f t="shared" si="3"/>
        <v/>
      </c>
      <c r="N95" s="22"/>
      <c r="O95" s="17"/>
      <c r="P95" s="24"/>
      <c r="Q95" s="22"/>
    </row>
    <row r="96" ht="15.75" hidden="1" customHeight="1">
      <c r="A96" s="9"/>
      <c r="B96" s="9"/>
      <c r="C96" s="22"/>
      <c r="D96" s="17"/>
      <c r="E96" s="35"/>
      <c r="F96" s="9"/>
      <c r="G96" s="22"/>
      <c r="H96" s="9"/>
      <c r="I96" s="17"/>
      <c r="J96" s="24"/>
      <c r="K96" s="24"/>
      <c r="L96" s="35"/>
      <c r="M96" s="19" t="str">
        <f t="shared" si="3"/>
        <v/>
      </c>
      <c r="N96" s="22"/>
      <c r="O96" s="17"/>
      <c r="P96" s="24"/>
      <c r="Q96" s="22"/>
    </row>
    <row r="97" ht="15.75" hidden="1" customHeight="1">
      <c r="A97" s="9"/>
      <c r="B97" s="9"/>
      <c r="C97" s="22"/>
      <c r="D97" s="17"/>
      <c r="E97" s="35"/>
      <c r="F97" s="9"/>
      <c r="G97" s="22"/>
      <c r="H97" s="9"/>
      <c r="I97" s="17"/>
      <c r="J97" s="24"/>
      <c r="K97" s="24"/>
      <c r="L97" s="35"/>
      <c r="M97" s="19" t="str">
        <f t="shared" si="3"/>
        <v/>
      </c>
      <c r="N97" s="22"/>
      <c r="O97" s="17"/>
      <c r="P97" s="24"/>
      <c r="Q97" s="22"/>
    </row>
    <row r="98" ht="15.75" hidden="1" customHeight="1">
      <c r="A98" s="9"/>
      <c r="B98" s="9"/>
      <c r="C98" s="22"/>
      <c r="D98" s="17"/>
      <c r="E98" s="35"/>
      <c r="F98" s="9"/>
      <c r="G98" s="22"/>
      <c r="H98" s="9"/>
      <c r="I98" s="17"/>
      <c r="J98" s="24"/>
      <c r="K98" s="24"/>
      <c r="L98" s="35"/>
      <c r="M98" s="19" t="str">
        <f t="shared" si="3"/>
        <v/>
      </c>
      <c r="N98" s="22"/>
      <c r="O98" s="17"/>
      <c r="P98" s="24"/>
      <c r="Q98" s="22"/>
    </row>
    <row r="99" ht="15.75" hidden="1" customHeight="1">
      <c r="A99" s="9"/>
      <c r="B99" s="9"/>
      <c r="C99" s="22"/>
      <c r="D99" s="17"/>
      <c r="E99" s="35"/>
      <c r="F99" s="9"/>
      <c r="G99" s="22"/>
      <c r="H99" s="9"/>
      <c r="I99" s="17"/>
      <c r="J99" s="24"/>
      <c r="K99" s="24"/>
      <c r="L99" s="35"/>
      <c r="M99" s="19" t="str">
        <f t="shared" si="3"/>
        <v/>
      </c>
      <c r="N99" s="22"/>
      <c r="O99" s="17"/>
      <c r="P99" s="24"/>
      <c r="Q99" s="22"/>
    </row>
    <row r="100" ht="15.75" hidden="1" customHeight="1">
      <c r="A100" s="9"/>
      <c r="B100" s="9"/>
      <c r="C100" s="22"/>
      <c r="D100" s="17"/>
      <c r="E100" s="35"/>
      <c r="F100" s="9"/>
      <c r="G100" s="22"/>
      <c r="H100" s="9"/>
      <c r="I100" s="17"/>
      <c r="J100" s="24"/>
      <c r="K100" s="24"/>
      <c r="L100" s="35"/>
      <c r="M100" s="19" t="str">
        <f t="shared" si="3"/>
        <v/>
      </c>
      <c r="N100" s="22"/>
      <c r="O100" s="17"/>
      <c r="P100" s="24"/>
      <c r="Q100" s="22"/>
    </row>
    <row r="101" ht="15.75" hidden="1" customHeight="1">
      <c r="A101" s="9"/>
      <c r="B101" s="9"/>
      <c r="C101" s="22"/>
      <c r="D101" s="17"/>
      <c r="E101" s="35"/>
      <c r="F101" s="9"/>
      <c r="G101" s="22"/>
      <c r="H101" s="9"/>
      <c r="I101" s="17"/>
      <c r="J101" s="24"/>
      <c r="K101" s="24"/>
      <c r="L101" s="35"/>
      <c r="M101" s="19" t="str">
        <f t="shared" si="3"/>
        <v/>
      </c>
      <c r="N101" s="22"/>
      <c r="O101" s="17"/>
      <c r="P101" s="24"/>
      <c r="Q101" s="22"/>
    </row>
    <row r="102" ht="15.75" hidden="1" customHeight="1">
      <c r="A102" s="9"/>
      <c r="B102" s="9"/>
      <c r="C102" s="22"/>
      <c r="D102" s="17"/>
      <c r="E102" s="35"/>
      <c r="F102" s="9"/>
      <c r="G102" s="22"/>
      <c r="H102" s="9"/>
      <c r="I102" s="17"/>
      <c r="J102" s="24"/>
      <c r="K102" s="24"/>
      <c r="L102" s="35"/>
      <c r="M102" s="19" t="str">
        <f t="shared" si="3"/>
        <v/>
      </c>
      <c r="N102" s="22"/>
      <c r="O102" s="17"/>
      <c r="P102" s="24"/>
      <c r="Q102" s="22"/>
    </row>
    <row r="103" ht="15.75" hidden="1" customHeight="1">
      <c r="A103" s="9"/>
      <c r="B103" s="9"/>
      <c r="C103" s="22"/>
      <c r="D103" s="17"/>
      <c r="E103" s="35"/>
      <c r="F103" s="9"/>
      <c r="G103" s="22"/>
      <c r="H103" s="9"/>
      <c r="I103" s="17"/>
      <c r="J103" s="24"/>
      <c r="K103" s="24"/>
      <c r="L103" s="35"/>
      <c r="M103" s="19" t="str">
        <f t="shared" si="3"/>
        <v/>
      </c>
      <c r="N103" s="22"/>
      <c r="O103" s="17"/>
      <c r="P103" s="24"/>
      <c r="Q103" s="22"/>
    </row>
    <row r="104" ht="15.75" hidden="1" customHeight="1">
      <c r="A104" s="9"/>
      <c r="B104" s="9"/>
      <c r="C104" s="22"/>
      <c r="D104" s="17"/>
      <c r="E104" s="35"/>
      <c r="F104" s="9"/>
      <c r="G104" s="22"/>
      <c r="H104" s="9"/>
      <c r="I104" s="17"/>
      <c r="J104" s="24"/>
      <c r="K104" s="24"/>
      <c r="L104" s="35"/>
      <c r="M104" s="19" t="str">
        <f t="shared" si="3"/>
        <v/>
      </c>
      <c r="N104" s="22"/>
      <c r="O104" s="17"/>
      <c r="P104" s="24"/>
      <c r="Q104" s="22"/>
    </row>
    <row r="105" ht="15.75" hidden="1" customHeight="1">
      <c r="A105" s="9"/>
      <c r="B105" s="9"/>
      <c r="C105" s="22"/>
      <c r="D105" s="17"/>
      <c r="E105" s="35"/>
      <c r="F105" s="9"/>
      <c r="G105" s="22"/>
      <c r="H105" s="9"/>
      <c r="I105" s="17"/>
      <c r="J105" s="24"/>
      <c r="K105" s="24"/>
      <c r="L105" s="35"/>
      <c r="M105" s="19" t="str">
        <f t="shared" si="3"/>
        <v/>
      </c>
      <c r="N105" s="22"/>
      <c r="O105" s="17"/>
      <c r="P105" s="24"/>
      <c r="Q105" s="22"/>
    </row>
    <row r="106" ht="15.75" hidden="1" customHeight="1">
      <c r="A106" s="9"/>
      <c r="B106" s="9"/>
      <c r="C106" s="22"/>
      <c r="D106" s="17"/>
      <c r="E106" s="35"/>
      <c r="F106" s="9"/>
      <c r="G106" s="22"/>
      <c r="H106" s="9"/>
      <c r="I106" s="17"/>
      <c r="J106" s="24"/>
      <c r="K106" s="24"/>
      <c r="L106" s="35"/>
      <c r="M106" s="19" t="str">
        <f t="shared" si="3"/>
        <v/>
      </c>
      <c r="N106" s="22"/>
      <c r="O106" s="17"/>
      <c r="P106" s="24"/>
      <c r="Q106" s="22"/>
    </row>
    <row r="107" ht="15.75" hidden="1" customHeight="1">
      <c r="A107" s="9"/>
      <c r="B107" s="9"/>
      <c r="C107" s="22"/>
      <c r="D107" s="17"/>
      <c r="E107" s="35"/>
      <c r="F107" s="9"/>
      <c r="G107" s="22"/>
      <c r="H107" s="9"/>
      <c r="I107" s="17"/>
      <c r="J107" s="24"/>
      <c r="K107" s="24"/>
      <c r="L107" s="35"/>
      <c r="M107" s="19" t="str">
        <f t="shared" si="3"/>
        <v/>
      </c>
      <c r="N107" s="22"/>
      <c r="O107" s="17"/>
      <c r="P107" s="24"/>
      <c r="Q107" s="22"/>
    </row>
    <row r="108" ht="15.75" hidden="1" customHeight="1">
      <c r="A108" s="9"/>
      <c r="B108" s="9"/>
      <c r="C108" s="22"/>
      <c r="D108" s="17"/>
      <c r="E108" s="35"/>
      <c r="F108" s="9"/>
      <c r="G108" s="22"/>
      <c r="H108" s="9"/>
      <c r="I108" s="17"/>
      <c r="J108" s="24"/>
      <c r="K108" s="24"/>
      <c r="L108" s="35"/>
      <c r="M108" s="19" t="str">
        <f t="shared" si="3"/>
        <v/>
      </c>
      <c r="N108" s="22"/>
      <c r="O108" s="17"/>
      <c r="P108" s="24"/>
      <c r="Q108" s="22"/>
    </row>
    <row r="109" ht="15.75" hidden="1" customHeight="1">
      <c r="A109" s="9"/>
      <c r="B109" s="9"/>
      <c r="C109" s="22"/>
      <c r="D109" s="17"/>
      <c r="E109" s="35"/>
      <c r="F109" s="9"/>
      <c r="G109" s="22"/>
      <c r="H109" s="9"/>
      <c r="I109" s="17"/>
      <c r="J109" s="24"/>
      <c r="K109" s="24"/>
      <c r="L109" s="35"/>
      <c r="M109" s="19" t="str">
        <f t="shared" si="3"/>
        <v/>
      </c>
      <c r="N109" s="22"/>
      <c r="O109" s="17"/>
      <c r="P109" s="24"/>
      <c r="Q109" s="22"/>
    </row>
    <row r="110" ht="15.75" hidden="1" customHeight="1">
      <c r="A110" s="9"/>
      <c r="B110" s="9"/>
      <c r="C110" s="22"/>
      <c r="D110" s="17"/>
      <c r="E110" s="35"/>
      <c r="F110" s="9"/>
      <c r="G110" s="22"/>
      <c r="H110" s="9"/>
      <c r="I110" s="17"/>
      <c r="J110" s="24"/>
      <c r="K110" s="24"/>
      <c r="L110" s="35"/>
      <c r="M110" s="19" t="str">
        <f t="shared" si="3"/>
        <v/>
      </c>
      <c r="N110" s="22"/>
      <c r="O110" s="17"/>
      <c r="P110" s="24"/>
      <c r="Q110" s="22"/>
    </row>
    <row r="111" ht="15.75" hidden="1" customHeight="1">
      <c r="A111" s="9"/>
      <c r="B111" s="9"/>
      <c r="C111" s="22"/>
      <c r="D111" s="17"/>
      <c r="E111" s="35"/>
      <c r="F111" s="9"/>
      <c r="G111" s="22"/>
      <c r="H111" s="9"/>
      <c r="I111" s="17"/>
      <c r="J111" s="24"/>
      <c r="K111" s="24"/>
      <c r="L111" s="35"/>
      <c r="M111" s="19" t="str">
        <f t="shared" si="3"/>
        <v/>
      </c>
      <c r="N111" s="22"/>
      <c r="O111" s="17"/>
      <c r="P111" s="24"/>
      <c r="Q111" s="22"/>
    </row>
    <row r="112" ht="15.75" hidden="1" customHeight="1">
      <c r="A112" s="9"/>
      <c r="B112" s="9"/>
      <c r="C112" s="22"/>
      <c r="D112" s="17"/>
      <c r="E112" s="35"/>
      <c r="F112" s="9"/>
      <c r="G112" s="22"/>
      <c r="H112" s="9"/>
      <c r="I112" s="17"/>
      <c r="J112" s="24"/>
      <c r="K112" s="24"/>
      <c r="L112" s="35"/>
      <c r="M112" s="19" t="str">
        <f t="shared" si="3"/>
        <v/>
      </c>
      <c r="N112" s="22"/>
      <c r="O112" s="17"/>
      <c r="P112" s="24"/>
      <c r="Q112" s="22"/>
    </row>
    <row r="113" ht="15.75" hidden="1" customHeight="1">
      <c r="A113" s="9"/>
      <c r="B113" s="9"/>
      <c r="C113" s="22"/>
      <c r="D113" s="17"/>
      <c r="E113" s="35"/>
      <c r="F113" s="9"/>
      <c r="G113" s="22"/>
      <c r="H113" s="9"/>
      <c r="I113" s="17"/>
      <c r="J113" s="24"/>
      <c r="K113" s="24"/>
      <c r="L113" s="35"/>
      <c r="M113" s="19" t="str">
        <f t="shared" si="3"/>
        <v/>
      </c>
      <c r="N113" s="22"/>
      <c r="O113" s="17"/>
      <c r="P113" s="24"/>
      <c r="Q113" s="22"/>
    </row>
    <row r="114" ht="15.75" hidden="1" customHeight="1">
      <c r="A114" s="9"/>
      <c r="B114" s="9"/>
      <c r="C114" s="22"/>
      <c r="D114" s="17"/>
      <c r="E114" s="35"/>
      <c r="F114" s="9"/>
      <c r="G114" s="22"/>
      <c r="H114" s="9"/>
      <c r="I114" s="17"/>
      <c r="J114" s="24"/>
      <c r="K114" s="24"/>
      <c r="L114" s="35"/>
      <c r="M114" s="19" t="str">
        <f t="shared" si="3"/>
        <v/>
      </c>
      <c r="N114" s="22"/>
      <c r="O114" s="17"/>
      <c r="P114" s="24"/>
      <c r="Q114" s="22"/>
    </row>
    <row r="115" ht="15.75" hidden="1" customHeight="1">
      <c r="A115" s="9"/>
      <c r="B115" s="9"/>
      <c r="C115" s="22"/>
      <c r="D115" s="17"/>
      <c r="E115" s="35"/>
      <c r="F115" s="9"/>
      <c r="G115" s="22"/>
      <c r="H115" s="9"/>
      <c r="I115" s="17"/>
      <c r="J115" s="24"/>
      <c r="K115" s="24"/>
      <c r="L115" s="35"/>
      <c r="M115" s="19" t="str">
        <f t="shared" si="3"/>
        <v/>
      </c>
      <c r="N115" s="22"/>
      <c r="O115" s="17"/>
      <c r="P115" s="24"/>
      <c r="Q115" s="22"/>
    </row>
    <row r="116" ht="15.75" hidden="1" customHeight="1">
      <c r="A116" s="9"/>
      <c r="B116" s="9"/>
      <c r="C116" s="22"/>
      <c r="D116" s="17"/>
      <c r="E116" s="35"/>
      <c r="F116" s="9"/>
      <c r="G116" s="22"/>
      <c r="H116" s="9"/>
      <c r="I116" s="17"/>
      <c r="J116" s="24"/>
      <c r="K116" s="24"/>
      <c r="L116" s="35"/>
      <c r="M116" s="19" t="str">
        <f t="shared" si="3"/>
        <v/>
      </c>
      <c r="N116" s="22"/>
      <c r="O116" s="17"/>
      <c r="P116" s="24"/>
      <c r="Q116" s="22"/>
    </row>
    <row r="117" ht="15.75" hidden="1" customHeight="1">
      <c r="A117" s="9"/>
      <c r="B117" s="9"/>
      <c r="C117" s="22"/>
      <c r="D117" s="17"/>
      <c r="E117" s="35"/>
      <c r="F117" s="9"/>
      <c r="G117" s="22"/>
      <c r="H117" s="9"/>
      <c r="I117" s="17"/>
      <c r="J117" s="24"/>
      <c r="K117" s="24"/>
      <c r="L117" s="35"/>
      <c r="M117" s="19" t="str">
        <f t="shared" si="3"/>
        <v/>
      </c>
      <c r="N117" s="22"/>
      <c r="O117" s="17"/>
      <c r="P117" s="24"/>
      <c r="Q117" s="22"/>
    </row>
    <row r="118" ht="15.75" hidden="1" customHeight="1">
      <c r="A118" s="9"/>
      <c r="B118" s="9"/>
      <c r="C118" s="22"/>
      <c r="D118" s="17"/>
      <c r="E118" s="35"/>
      <c r="F118" s="9"/>
      <c r="G118" s="22"/>
      <c r="H118" s="9"/>
      <c r="I118" s="17"/>
      <c r="J118" s="24"/>
      <c r="K118" s="24"/>
      <c r="L118" s="35"/>
      <c r="M118" s="19" t="str">
        <f t="shared" si="3"/>
        <v/>
      </c>
      <c r="N118" s="22"/>
      <c r="O118" s="17"/>
      <c r="P118" s="24"/>
      <c r="Q118" s="22"/>
    </row>
    <row r="119" ht="15.75" hidden="1" customHeight="1">
      <c r="A119" s="9"/>
      <c r="B119" s="9"/>
      <c r="C119" s="22"/>
      <c r="D119" s="17"/>
      <c r="E119" s="35"/>
      <c r="F119" s="9"/>
      <c r="G119" s="22"/>
      <c r="H119" s="9"/>
      <c r="I119" s="17"/>
      <c r="J119" s="24"/>
      <c r="K119" s="24"/>
      <c r="L119" s="35"/>
      <c r="M119" s="19" t="str">
        <f t="shared" si="3"/>
        <v/>
      </c>
      <c r="N119" s="22"/>
      <c r="O119" s="17"/>
      <c r="P119" s="24"/>
      <c r="Q119" s="22"/>
    </row>
    <row r="120" ht="15.75" hidden="1" customHeight="1">
      <c r="A120" s="9"/>
      <c r="B120" s="9"/>
      <c r="C120" s="22"/>
      <c r="D120" s="17"/>
      <c r="E120" s="35"/>
      <c r="F120" s="9"/>
      <c r="G120" s="22"/>
      <c r="H120" s="9"/>
      <c r="I120" s="17"/>
      <c r="J120" s="24"/>
      <c r="K120" s="24"/>
      <c r="L120" s="35"/>
      <c r="M120" s="19" t="str">
        <f t="shared" si="3"/>
        <v/>
      </c>
      <c r="N120" s="22"/>
      <c r="O120" s="17"/>
      <c r="P120" s="24"/>
      <c r="Q120" s="22"/>
    </row>
    <row r="121" ht="15.75" hidden="1" customHeight="1">
      <c r="A121" s="9"/>
      <c r="B121" s="9"/>
      <c r="C121" s="22"/>
      <c r="D121" s="17"/>
      <c r="E121" s="35"/>
      <c r="F121" s="9"/>
      <c r="G121" s="22"/>
      <c r="H121" s="9"/>
      <c r="I121" s="17"/>
      <c r="J121" s="24"/>
      <c r="K121" s="24"/>
      <c r="L121" s="35"/>
      <c r="M121" s="19" t="str">
        <f t="shared" si="3"/>
        <v/>
      </c>
      <c r="N121" s="22"/>
      <c r="O121" s="17"/>
      <c r="P121" s="24"/>
      <c r="Q121" s="22"/>
    </row>
    <row r="122" ht="15.75" hidden="1" customHeight="1">
      <c r="A122" s="9"/>
      <c r="B122" s="9"/>
      <c r="C122" s="22"/>
      <c r="D122" s="17"/>
      <c r="E122" s="35"/>
      <c r="F122" s="9"/>
      <c r="G122" s="22"/>
      <c r="H122" s="9"/>
      <c r="I122" s="17"/>
      <c r="J122" s="24"/>
      <c r="K122" s="24"/>
      <c r="L122" s="35"/>
      <c r="M122" s="19" t="str">
        <f t="shared" si="3"/>
        <v/>
      </c>
      <c r="N122" s="22"/>
      <c r="O122" s="17"/>
      <c r="P122" s="24"/>
      <c r="Q122" s="22"/>
    </row>
    <row r="123" ht="15.75" hidden="1" customHeight="1">
      <c r="A123" s="9"/>
      <c r="B123" s="9"/>
      <c r="C123" s="22"/>
      <c r="D123" s="17"/>
      <c r="E123" s="35"/>
      <c r="F123" s="9"/>
      <c r="G123" s="22"/>
      <c r="H123" s="9"/>
      <c r="I123" s="17"/>
      <c r="J123" s="24"/>
      <c r="K123" s="24"/>
      <c r="L123" s="35"/>
      <c r="M123" s="19" t="str">
        <f t="shared" si="3"/>
        <v/>
      </c>
      <c r="N123" s="22"/>
      <c r="O123" s="17"/>
      <c r="P123" s="24"/>
      <c r="Q123" s="22"/>
    </row>
    <row r="124" ht="15.75" hidden="1" customHeight="1">
      <c r="A124" s="9"/>
      <c r="B124" s="9"/>
      <c r="C124" s="22"/>
      <c r="D124" s="17"/>
      <c r="E124" s="35"/>
      <c r="F124" s="9"/>
      <c r="G124" s="22"/>
      <c r="H124" s="9"/>
      <c r="I124" s="17"/>
      <c r="J124" s="24"/>
      <c r="K124" s="24"/>
      <c r="L124" s="35"/>
      <c r="M124" s="19" t="str">
        <f t="shared" si="3"/>
        <v/>
      </c>
      <c r="N124" s="22"/>
      <c r="O124" s="17"/>
      <c r="P124" s="24"/>
      <c r="Q124" s="22"/>
    </row>
    <row r="125" ht="15.75" hidden="1" customHeight="1">
      <c r="A125" s="9"/>
      <c r="B125" s="9"/>
      <c r="C125" s="22"/>
      <c r="D125" s="17"/>
      <c r="E125" s="35"/>
      <c r="F125" s="9"/>
      <c r="G125" s="22"/>
      <c r="H125" s="9"/>
      <c r="I125" s="17"/>
      <c r="J125" s="24"/>
      <c r="K125" s="24"/>
      <c r="L125" s="35"/>
      <c r="M125" s="19" t="str">
        <f t="shared" si="3"/>
        <v/>
      </c>
      <c r="N125" s="22"/>
      <c r="O125" s="17"/>
      <c r="P125" s="24"/>
      <c r="Q125" s="22"/>
    </row>
    <row r="126" ht="15.75" hidden="1" customHeight="1">
      <c r="A126" s="9"/>
      <c r="B126" s="9"/>
      <c r="C126" s="22"/>
      <c r="D126" s="17"/>
      <c r="E126" s="35"/>
      <c r="F126" s="9"/>
      <c r="G126" s="22"/>
      <c r="H126" s="9"/>
      <c r="I126" s="17"/>
      <c r="J126" s="24"/>
      <c r="K126" s="24"/>
      <c r="L126" s="35"/>
      <c r="M126" s="19" t="str">
        <f t="shared" si="3"/>
        <v/>
      </c>
      <c r="N126" s="22"/>
      <c r="O126" s="17"/>
      <c r="P126" s="24"/>
      <c r="Q126" s="22"/>
    </row>
    <row r="127" ht="15.75" hidden="1" customHeight="1">
      <c r="A127" s="9"/>
      <c r="B127" s="9"/>
      <c r="C127" s="22"/>
      <c r="D127" s="17"/>
      <c r="E127" s="35"/>
      <c r="F127" s="9"/>
      <c r="G127" s="22"/>
      <c r="H127" s="9"/>
      <c r="I127" s="17"/>
      <c r="J127" s="24"/>
      <c r="K127" s="24"/>
      <c r="L127" s="35"/>
      <c r="M127" s="19" t="str">
        <f t="shared" si="3"/>
        <v/>
      </c>
      <c r="N127" s="22"/>
      <c r="O127" s="17"/>
      <c r="P127" s="24"/>
      <c r="Q127" s="22"/>
    </row>
    <row r="128" ht="15.75" hidden="1" customHeight="1">
      <c r="A128" s="9"/>
      <c r="B128" s="9"/>
      <c r="C128" s="22"/>
      <c r="D128" s="17"/>
      <c r="E128" s="35"/>
      <c r="F128" s="9"/>
      <c r="G128" s="22"/>
      <c r="H128" s="9"/>
      <c r="I128" s="17"/>
      <c r="J128" s="24"/>
      <c r="K128" s="24"/>
      <c r="L128" s="35"/>
      <c r="M128" s="19" t="str">
        <f t="shared" si="3"/>
        <v/>
      </c>
      <c r="N128" s="22"/>
      <c r="O128" s="17"/>
      <c r="P128" s="24"/>
      <c r="Q128" s="22"/>
    </row>
    <row r="129" ht="15.75" hidden="1" customHeight="1">
      <c r="A129" s="9"/>
      <c r="B129" s="9"/>
      <c r="C129" s="22"/>
      <c r="D129" s="17"/>
      <c r="E129" s="35"/>
      <c r="F129" s="9"/>
      <c r="G129" s="22"/>
      <c r="H129" s="9"/>
      <c r="I129" s="17"/>
      <c r="J129" s="24"/>
      <c r="K129" s="24"/>
      <c r="L129" s="35"/>
      <c r="M129" s="19" t="str">
        <f t="shared" si="3"/>
        <v/>
      </c>
      <c r="N129" s="22"/>
      <c r="O129" s="17"/>
      <c r="P129" s="24"/>
      <c r="Q129" s="22"/>
    </row>
    <row r="130" ht="15.75" hidden="1" customHeight="1">
      <c r="A130" s="9"/>
      <c r="B130" s="9"/>
      <c r="C130" s="22"/>
      <c r="D130" s="17"/>
      <c r="E130" s="35"/>
      <c r="F130" s="9"/>
      <c r="G130" s="22"/>
      <c r="H130" s="9"/>
      <c r="I130" s="17"/>
      <c r="J130" s="24"/>
      <c r="K130" s="24"/>
      <c r="L130" s="35"/>
      <c r="M130" s="19" t="str">
        <f t="shared" si="3"/>
        <v/>
      </c>
      <c r="N130" s="22"/>
      <c r="O130" s="17"/>
      <c r="P130" s="24"/>
      <c r="Q130" s="22"/>
    </row>
    <row r="131" ht="15.75" hidden="1" customHeight="1">
      <c r="A131" s="9"/>
      <c r="B131" s="9"/>
      <c r="C131" s="22"/>
      <c r="D131" s="17"/>
      <c r="E131" s="35"/>
      <c r="F131" s="9"/>
      <c r="G131" s="22"/>
      <c r="H131" s="9"/>
      <c r="I131" s="17"/>
      <c r="J131" s="24"/>
      <c r="K131" s="24"/>
      <c r="L131" s="35"/>
      <c r="M131" s="19" t="str">
        <f t="shared" si="3"/>
        <v/>
      </c>
      <c r="N131" s="22"/>
      <c r="O131" s="17"/>
      <c r="P131" s="24"/>
      <c r="Q131" s="22"/>
    </row>
    <row r="132" ht="15.75" hidden="1" customHeight="1">
      <c r="A132" s="9"/>
      <c r="B132" s="9"/>
      <c r="C132" s="22"/>
      <c r="D132" s="17"/>
      <c r="E132" s="35"/>
      <c r="F132" s="9"/>
      <c r="G132" s="22"/>
      <c r="H132" s="9"/>
      <c r="I132" s="17"/>
      <c r="J132" s="24"/>
      <c r="K132" s="24"/>
      <c r="L132" s="35"/>
      <c r="M132" s="19" t="str">
        <f t="shared" si="3"/>
        <v/>
      </c>
      <c r="N132" s="22"/>
      <c r="O132" s="17"/>
      <c r="P132" s="24"/>
      <c r="Q132" s="22"/>
    </row>
    <row r="133" ht="15.75" hidden="1" customHeight="1">
      <c r="A133" s="9"/>
      <c r="B133" s="9"/>
      <c r="C133" s="22"/>
      <c r="D133" s="17"/>
      <c r="E133" s="35"/>
      <c r="F133" s="9"/>
      <c r="G133" s="22"/>
      <c r="H133" s="9"/>
      <c r="I133" s="17"/>
      <c r="J133" s="24"/>
      <c r="K133" s="24"/>
      <c r="L133" s="35"/>
      <c r="M133" s="19" t="str">
        <f t="shared" si="3"/>
        <v/>
      </c>
      <c r="N133" s="22"/>
      <c r="O133" s="17"/>
      <c r="P133" s="24"/>
      <c r="Q133" s="22"/>
    </row>
    <row r="134" ht="15.75" hidden="1" customHeight="1">
      <c r="A134" s="9"/>
      <c r="B134" s="9"/>
      <c r="C134" s="22"/>
      <c r="D134" s="17"/>
      <c r="E134" s="35"/>
      <c r="F134" s="9"/>
      <c r="G134" s="22"/>
      <c r="H134" s="9"/>
      <c r="I134" s="17"/>
      <c r="J134" s="24"/>
      <c r="K134" s="24"/>
      <c r="L134" s="35"/>
      <c r="M134" s="19" t="str">
        <f t="shared" si="3"/>
        <v/>
      </c>
      <c r="N134" s="22"/>
      <c r="O134" s="17"/>
      <c r="P134" s="24"/>
      <c r="Q134" s="22"/>
    </row>
    <row r="135" ht="15.75" hidden="1" customHeight="1">
      <c r="A135" s="9"/>
      <c r="B135" s="9"/>
      <c r="C135" s="22"/>
      <c r="D135" s="17"/>
      <c r="E135" s="35"/>
      <c r="F135" s="9"/>
      <c r="G135" s="22"/>
      <c r="H135" s="9"/>
      <c r="I135" s="17"/>
      <c r="J135" s="24"/>
      <c r="K135" s="24"/>
      <c r="L135" s="35"/>
      <c r="M135" s="19" t="str">
        <f t="shared" si="3"/>
        <v/>
      </c>
      <c r="N135" s="22"/>
      <c r="O135" s="17"/>
      <c r="P135" s="24"/>
      <c r="Q135" s="22"/>
    </row>
    <row r="136" ht="15.75" hidden="1" customHeight="1">
      <c r="A136" s="9"/>
      <c r="B136" s="9"/>
      <c r="C136" s="22"/>
      <c r="D136" s="17"/>
      <c r="E136" s="35"/>
      <c r="F136" s="9"/>
      <c r="G136" s="22"/>
      <c r="H136" s="9"/>
      <c r="I136" s="17"/>
      <c r="J136" s="24"/>
      <c r="K136" s="24"/>
      <c r="L136" s="35"/>
      <c r="M136" s="19" t="str">
        <f t="shared" si="3"/>
        <v/>
      </c>
      <c r="N136" s="22"/>
      <c r="O136" s="17"/>
      <c r="P136" s="24"/>
      <c r="Q136" s="22"/>
    </row>
    <row r="137" ht="15.75" hidden="1" customHeight="1">
      <c r="A137" s="9"/>
      <c r="B137" s="9"/>
      <c r="C137" s="22"/>
      <c r="D137" s="17"/>
      <c r="E137" s="35"/>
      <c r="F137" s="9"/>
      <c r="G137" s="22"/>
      <c r="H137" s="9"/>
      <c r="I137" s="17"/>
      <c r="J137" s="24"/>
      <c r="K137" s="24"/>
      <c r="L137" s="35"/>
      <c r="M137" s="19" t="str">
        <f t="shared" si="3"/>
        <v/>
      </c>
      <c r="N137" s="22"/>
      <c r="O137" s="17"/>
      <c r="P137" s="24"/>
      <c r="Q137" s="22"/>
    </row>
    <row r="138" ht="15.75" hidden="1" customHeight="1">
      <c r="A138" s="9"/>
      <c r="B138" s="9"/>
      <c r="C138" s="22"/>
      <c r="D138" s="17"/>
      <c r="E138" s="35"/>
      <c r="F138" s="9"/>
      <c r="G138" s="22"/>
      <c r="H138" s="9"/>
      <c r="I138" s="17"/>
      <c r="J138" s="24"/>
      <c r="K138" s="24"/>
      <c r="L138" s="35"/>
      <c r="M138" s="19" t="str">
        <f t="shared" si="3"/>
        <v/>
      </c>
      <c r="N138" s="22"/>
      <c r="O138" s="17"/>
      <c r="P138" s="24"/>
      <c r="Q138" s="22"/>
    </row>
    <row r="139" ht="15.75" hidden="1" customHeight="1">
      <c r="A139" s="9"/>
      <c r="B139" s="9"/>
      <c r="C139" s="22"/>
      <c r="D139" s="17"/>
      <c r="E139" s="35"/>
      <c r="F139" s="9"/>
      <c r="G139" s="22"/>
      <c r="H139" s="9"/>
      <c r="I139" s="17"/>
      <c r="J139" s="24"/>
      <c r="K139" s="24"/>
      <c r="L139" s="35"/>
      <c r="M139" s="19" t="str">
        <f t="shared" si="3"/>
        <v/>
      </c>
      <c r="N139" s="22"/>
      <c r="O139" s="17"/>
      <c r="P139" s="24"/>
      <c r="Q139" s="22"/>
    </row>
    <row r="140" ht="15.75" hidden="1" customHeight="1">
      <c r="A140" s="9"/>
      <c r="B140" s="9"/>
      <c r="C140" s="22"/>
      <c r="D140" s="17"/>
      <c r="E140" s="35"/>
      <c r="F140" s="9"/>
      <c r="G140" s="22"/>
      <c r="H140" s="9"/>
      <c r="I140" s="17"/>
      <c r="J140" s="24"/>
      <c r="K140" s="24"/>
      <c r="L140" s="35"/>
      <c r="M140" s="19" t="str">
        <f t="shared" si="3"/>
        <v/>
      </c>
      <c r="N140" s="22"/>
      <c r="O140" s="17"/>
      <c r="P140" s="24"/>
      <c r="Q140" s="22"/>
    </row>
    <row r="141" ht="15.75" hidden="1" customHeight="1">
      <c r="A141" s="9"/>
      <c r="B141" s="9"/>
      <c r="C141" s="22"/>
      <c r="D141" s="17"/>
      <c r="E141" s="35"/>
      <c r="F141" s="9"/>
      <c r="G141" s="22"/>
      <c r="H141" s="9"/>
      <c r="I141" s="17"/>
      <c r="J141" s="24"/>
      <c r="K141" s="24"/>
      <c r="L141" s="35"/>
      <c r="M141" s="19" t="str">
        <f t="shared" si="3"/>
        <v/>
      </c>
      <c r="N141" s="22"/>
      <c r="O141" s="17"/>
      <c r="P141" s="24"/>
      <c r="Q141" s="22"/>
    </row>
    <row r="142" ht="15.75" hidden="1" customHeight="1">
      <c r="A142" s="9"/>
      <c r="B142" s="9"/>
      <c r="C142" s="22"/>
      <c r="D142" s="17"/>
      <c r="E142" s="35"/>
      <c r="F142" s="9"/>
      <c r="G142" s="22"/>
      <c r="H142" s="9"/>
      <c r="I142" s="17"/>
      <c r="J142" s="24"/>
      <c r="K142" s="24"/>
      <c r="L142" s="35"/>
      <c r="M142" s="19" t="str">
        <f t="shared" si="3"/>
        <v/>
      </c>
      <c r="N142" s="22"/>
      <c r="O142" s="17"/>
      <c r="P142" s="24"/>
      <c r="Q142" s="22"/>
    </row>
    <row r="143" ht="15.75" hidden="1" customHeight="1">
      <c r="A143" s="9"/>
      <c r="B143" s="9"/>
      <c r="C143" s="22"/>
      <c r="D143" s="17"/>
      <c r="E143" s="35"/>
      <c r="F143" s="9"/>
      <c r="G143" s="22"/>
      <c r="H143" s="9"/>
      <c r="I143" s="17"/>
      <c r="J143" s="24"/>
      <c r="K143" s="24"/>
      <c r="L143" s="35"/>
      <c r="M143" s="19" t="str">
        <f t="shared" si="3"/>
        <v/>
      </c>
      <c r="N143" s="22"/>
      <c r="O143" s="17"/>
      <c r="P143" s="24"/>
      <c r="Q143" s="22"/>
    </row>
    <row r="144" ht="15.75" hidden="1" customHeight="1">
      <c r="A144" s="9"/>
      <c r="B144" s="9"/>
      <c r="C144" s="22"/>
      <c r="D144" s="17"/>
      <c r="E144" s="35"/>
      <c r="F144" s="9"/>
      <c r="G144" s="22"/>
      <c r="H144" s="9"/>
      <c r="I144" s="17"/>
      <c r="J144" s="24"/>
      <c r="K144" s="24"/>
      <c r="L144" s="35"/>
      <c r="M144" s="19" t="str">
        <f t="shared" si="3"/>
        <v/>
      </c>
      <c r="N144" s="22"/>
      <c r="O144" s="17"/>
      <c r="P144" s="24"/>
      <c r="Q144" s="22"/>
    </row>
    <row r="145" ht="15.75" hidden="1" customHeight="1">
      <c r="A145" s="9"/>
      <c r="B145" s="9"/>
      <c r="C145" s="22"/>
      <c r="D145" s="17"/>
      <c r="E145" s="35"/>
      <c r="F145" s="9"/>
      <c r="G145" s="22"/>
      <c r="H145" s="9"/>
      <c r="I145" s="17"/>
      <c r="J145" s="24"/>
      <c r="K145" s="24"/>
      <c r="L145" s="35"/>
      <c r="M145" s="19" t="str">
        <f t="shared" si="3"/>
        <v/>
      </c>
      <c r="N145" s="22"/>
      <c r="O145" s="17"/>
      <c r="P145" s="24"/>
      <c r="Q145" s="22"/>
    </row>
    <row r="146" ht="15.75" hidden="1" customHeight="1">
      <c r="A146" s="9"/>
      <c r="B146" s="9"/>
      <c r="C146" s="22"/>
      <c r="D146" s="17"/>
      <c r="E146" s="35"/>
      <c r="F146" s="9"/>
      <c r="G146" s="22"/>
      <c r="H146" s="9"/>
      <c r="I146" s="17"/>
      <c r="J146" s="24"/>
      <c r="K146" s="24"/>
      <c r="L146" s="35"/>
      <c r="M146" s="19" t="str">
        <f t="shared" si="3"/>
        <v/>
      </c>
      <c r="N146" s="22"/>
      <c r="O146" s="17"/>
      <c r="P146" s="24"/>
      <c r="Q146" s="22"/>
    </row>
    <row r="147" ht="15.75" hidden="1" customHeight="1">
      <c r="A147" s="9"/>
      <c r="B147" s="9"/>
      <c r="C147" s="22"/>
      <c r="D147" s="17"/>
      <c r="E147" s="35"/>
      <c r="F147" s="9"/>
      <c r="G147" s="22"/>
      <c r="H147" s="9"/>
      <c r="I147" s="17"/>
      <c r="J147" s="24"/>
      <c r="K147" s="24"/>
      <c r="L147" s="35"/>
      <c r="M147" s="19" t="str">
        <f t="shared" si="3"/>
        <v/>
      </c>
      <c r="N147" s="22"/>
      <c r="O147" s="17"/>
      <c r="P147" s="24"/>
      <c r="Q147" s="22"/>
    </row>
    <row r="148" ht="15.75" hidden="1" customHeight="1">
      <c r="A148" s="9"/>
      <c r="B148" s="9"/>
      <c r="C148" s="22"/>
      <c r="D148" s="17"/>
      <c r="E148" s="35"/>
      <c r="F148" s="9"/>
      <c r="G148" s="22"/>
      <c r="H148" s="9"/>
      <c r="I148" s="17"/>
      <c r="J148" s="24"/>
      <c r="K148" s="24"/>
      <c r="L148" s="35"/>
      <c r="M148" s="19" t="str">
        <f t="shared" si="3"/>
        <v/>
      </c>
      <c r="N148" s="22"/>
      <c r="O148" s="17"/>
      <c r="P148" s="24"/>
      <c r="Q148" s="22"/>
    </row>
    <row r="149" ht="15.75" hidden="1" customHeight="1">
      <c r="A149" s="9"/>
      <c r="B149" s="9"/>
      <c r="C149" s="22"/>
      <c r="D149" s="17"/>
      <c r="E149" s="35"/>
      <c r="F149" s="9"/>
      <c r="G149" s="22"/>
      <c r="H149" s="9"/>
      <c r="I149" s="17"/>
      <c r="J149" s="24"/>
      <c r="K149" s="24"/>
      <c r="L149" s="35"/>
      <c r="M149" s="19" t="str">
        <f t="shared" si="3"/>
        <v/>
      </c>
      <c r="N149" s="22"/>
      <c r="O149" s="17"/>
      <c r="P149" s="24"/>
      <c r="Q149" s="22"/>
    </row>
    <row r="150" ht="15.75" hidden="1" customHeight="1">
      <c r="A150" s="9"/>
      <c r="B150" s="9"/>
      <c r="C150" s="22"/>
      <c r="D150" s="17"/>
      <c r="E150" s="35"/>
      <c r="F150" s="9"/>
      <c r="G150" s="22"/>
      <c r="H150" s="9"/>
      <c r="I150" s="17"/>
      <c r="J150" s="24"/>
      <c r="K150" s="24"/>
      <c r="L150" s="35"/>
      <c r="M150" s="19" t="str">
        <f t="shared" si="3"/>
        <v/>
      </c>
      <c r="N150" s="22"/>
      <c r="O150" s="17"/>
      <c r="P150" s="24"/>
      <c r="Q150" s="22"/>
    </row>
    <row r="151" ht="15.75" hidden="1" customHeight="1">
      <c r="A151" s="9"/>
      <c r="B151" s="9"/>
      <c r="C151" s="22"/>
      <c r="D151" s="17"/>
      <c r="E151" s="35"/>
      <c r="F151" s="9"/>
      <c r="G151" s="22"/>
      <c r="H151" s="9"/>
      <c r="I151" s="17"/>
      <c r="J151" s="24"/>
      <c r="K151" s="24"/>
      <c r="L151" s="35"/>
      <c r="M151" s="19" t="str">
        <f t="shared" si="3"/>
        <v/>
      </c>
      <c r="N151" s="22"/>
      <c r="O151" s="17"/>
      <c r="P151" s="24"/>
      <c r="Q151" s="22"/>
    </row>
    <row r="152" ht="15.75" hidden="1" customHeight="1">
      <c r="A152" s="9"/>
      <c r="B152" s="9"/>
      <c r="C152" s="22"/>
      <c r="D152" s="17"/>
      <c r="E152" s="35"/>
      <c r="F152" s="9"/>
      <c r="G152" s="22"/>
      <c r="H152" s="9"/>
      <c r="I152" s="17"/>
      <c r="J152" s="24"/>
      <c r="K152" s="24"/>
      <c r="L152" s="35"/>
      <c r="M152" s="19" t="str">
        <f t="shared" si="3"/>
        <v/>
      </c>
      <c r="N152" s="22"/>
      <c r="O152" s="17"/>
      <c r="P152" s="24"/>
      <c r="Q152" s="22"/>
    </row>
    <row r="153" ht="15.75" hidden="1" customHeight="1">
      <c r="A153" s="9"/>
      <c r="B153" s="9"/>
      <c r="C153" s="22"/>
      <c r="D153" s="17"/>
      <c r="E153" s="35"/>
      <c r="F153" s="9"/>
      <c r="G153" s="22"/>
      <c r="H153" s="9"/>
      <c r="I153" s="17"/>
      <c r="J153" s="24"/>
      <c r="K153" s="24"/>
      <c r="L153" s="35"/>
      <c r="M153" s="19" t="str">
        <f t="shared" si="3"/>
        <v/>
      </c>
      <c r="N153" s="22"/>
      <c r="O153" s="17"/>
      <c r="P153" s="24"/>
      <c r="Q153" s="22"/>
    </row>
    <row r="154" ht="15.75" hidden="1" customHeight="1">
      <c r="A154" s="9"/>
      <c r="B154" s="9"/>
      <c r="C154" s="22"/>
      <c r="D154" s="17"/>
      <c r="E154" s="35"/>
      <c r="F154" s="9"/>
      <c r="G154" s="22"/>
      <c r="H154" s="9"/>
      <c r="I154" s="17"/>
      <c r="J154" s="24"/>
      <c r="K154" s="24"/>
      <c r="L154" s="35"/>
      <c r="M154" s="19" t="str">
        <f t="shared" si="3"/>
        <v/>
      </c>
      <c r="N154" s="22"/>
      <c r="O154" s="17"/>
      <c r="P154" s="24"/>
      <c r="Q154" s="22"/>
    </row>
    <row r="155" ht="15.75" hidden="1" customHeight="1">
      <c r="A155" s="9"/>
      <c r="B155" s="9"/>
      <c r="C155" s="22"/>
      <c r="D155" s="17"/>
      <c r="E155" s="35"/>
      <c r="F155" s="9"/>
      <c r="G155" s="22"/>
      <c r="H155" s="9"/>
      <c r="I155" s="17"/>
      <c r="J155" s="24"/>
      <c r="K155" s="24"/>
      <c r="L155" s="35"/>
      <c r="M155" s="19" t="str">
        <f t="shared" si="3"/>
        <v/>
      </c>
      <c r="N155" s="22"/>
      <c r="O155" s="17"/>
      <c r="P155" s="24"/>
      <c r="Q155" s="22"/>
    </row>
    <row r="156" ht="15.75" hidden="1" customHeight="1">
      <c r="A156" s="9"/>
      <c r="B156" s="9"/>
      <c r="C156" s="22"/>
      <c r="D156" s="17"/>
      <c r="E156" s="35"/>
      <c r="F156" s="9"/>
      <c r="G156" s="22"/>
      <c r="H156" s="9"/>
      <c r="I156" s="17"/>
      <c r="J156" s="24"/>
      <c r="K156" s="24"/>
      <c r="L156" s="35"/>
      <c r="M156" s="19" t="str">
        <f t="shared" si="3"/>
        <v/>
      </c>
      <c r="N156" s="22"/>
      <c r="O156" s="17"/>
      <c r="P156" s="24"/>
      <c r="Q156" s="22"/>
    </row>
    <row r="157" ht="15.75" hidden="1" customHeight="1">
      <c r="A157" s="9"/>
      <c r="B157" s="9"/>
      <c r="C157" s="22"/>
      <c r="D157" s="17"/>
      <c r="E157" s="35"/>
      <c r="F157" s="9"/>
      <c r="G157" s="22"/>
      <c r="H157" s="9"/>
      <c r="I157" s="17"/>
      <c r="J157" s="24"/>
      <c r="K157" s="24"/>
      <c r="L157" s="35"/>
      <c r="M157" s="19" t="str">
        <f t="shared" si="3"/>
        <v/>
      </c>
      <c r="N157" s="22"/>
      <c r="O157" s="17"/>
      <c r="P157" s="24"/>
      <c r="Q157" s="22"/>
    </row>
    <row r="158" ht="15.75" hidden="1" customHeight="1">
      <c r="A158" s="9"/>
      <c r="B158" s="9"/>
      <c r="C158" s="22"/>
      <c r="D158" s="17"/>
      <c r="E158" s="35"/>
      <c r="F158" s="9"/>
      <c r="G158" s="22"/>
      <c r="H158" s="9"/>
      <c r="I158" s="17"/>
      <c r="J158" s="24"/>
      <c r="K158" s="24"/>
      <c r="L158" s="35"/>
      <c r="M158" s="19" t="str">
        <f t="shared" si="3"/>
        <v/>
      </c>
      <c r="N158" s="22"/>
      <c r="O158" s="17"/>
      <c r="P158" s="24"/>
      <c r="Q158" s="22"/>
    </row>
    <row r="159" ht="15.75" hidden="1" customHeight="1">
      <c r="A159" s="9"/>
      <c r="B159" s="9"/>
      <c r="C159" s="22"/>
      <c r="D159" s="17"/>
      <c r="E159" s="35"/>
      <c r="F159" s="9"/>
      <c r="G159" s="22"/>
      <c r="H159" s="9"/>
      <c r="I159" s="17"/>
      <c r="J159" s="24"/>
      <c r="K159" s="24"/>
      <c r="L159" s="35"/>
      <c r="M159" s="19" t="str">
        <f t="shared" si="3"/>
        <v/>
      </c>
      <c r="N159" s="22"/>
      <c r="O159" s="17"/>
      <c r="P159" s="24"/>
      <c r="Q159" s="22"/>
    </row>
    <row r="160" ht="15.75" customHeight="1"/>
    <row r="161" ht="15.75" customHeight="1">
      <c r="A161" s="4" t="s">
        <v>359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Q$159">
    <filterColumn colId="3">
      <filters>
        <filter val="TungNT188"/>
      </filters>
    </filterColumn>
    <filterColumn colId="7">
      <filters blank="1">
        <filter val="Sprint 4"/>
      </filters>
    </filterColumn>
  </autoFilter>
  <mergeCells count="1">
    <mergeCell ref="A161:Q161"/>
  </mergeCells>
  <conditionalFormatting sqref="F2:F159">
    <cfRule type="cellIs" dxfId="0" priority="1" operator="equal">
      <formula>"done"</formula>
    </cfRule>
  </conditionalFormatting>
  <conditionalFormatting sqref="F2:F159">
    <cfRule type="cellIs" dxfId="1" priority="2" operator="equal">
      <formula>"in-progress"</formula>
    </cfRule>
  </conditionalFormatting>
  <conditionalFormatting sqref="F2:F159">
    <cfRule type="cellIs" dxfId="2" priority="3" operator="equal">
      <formula>"pending"</formula>
    </cfRule>
  </conditionalFormatting>
  <conditionalFormatting sqref="F2:F159">
    <cfRule type="cellIs" dxfId="3" priority="4" operator="equal">
      <formula>"todo"</formula>
    </cfRule>
  </conditionalFormatting>
  <dataValidations>
    <dataValidation type="list" allowBlank="1" showInputMessage="1" showErrorMessage="1" prompt="Value not allowed - Pick a sprint from the Master Data sheet." sqref="H2:H159">
      <formula1>'Master Data'!$J$5:$J$9</formula1>
    </dataValidation>
    <dataValidation type="list" allowBlank="1" showInputMessage="1" showErrorMessage="1" prompt="Value not allowed - Story ID must be one of the IDs on the Backlog sheet - that is what the roll-up matches on." sqref="A15:A29 A32:A43 A45:A159">
      <formula1>Backlog!$A$2:$A$59</formula1>
    </dataValidation>
    <dataValidation type="list" allowBlank="1" showInputMessage="1" showErrorMessage="1" prompt="Value not allowed - Status must be one of: todo, in-progress, done, pending." sqref="F2:F159">
      <formula1>'Master Data'!$A$5:$A$8</formula1>
    </dataValidation>
    <dataValidation type="list" allowBlank="1" showInputMessage="1" showErrorMessage="1" prompt="Value not allowed - Task Type must come from the Master Data sheet." sqref="I2:I159">
      <formula1>'Master Data'!$S$5:$S$15</formula1>
    </dataValidation>
    <dataValidation type="list" allowBlank="1" showInputMessage="1" showErrorMessage="1" prompt="Value not allowed - Pick a member from the Assignee list on Master Data. Exactly one owner per task." sqref="D2:D159 O2:O159">
      <formula1>'Master Data'!$O$5:$O$9</formula1>
    </dataValidation>
    <dataValidation type="list" allowBlank="1" showInputMessage="1" showErrorMessage="1" prompt="Value not allowed - Story ID must be one of the IDs on the Backlog sheet - that is what the roll-up matches on." sqref="A2:A14 A30:A31">
      <formula1>Backlog!$A$2:$A$64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71"/>
    <col customWidth="1" min="2" max="2" width="11.14"/>
    <col customWidth="1" min="3" max="4" width="10.14"/>
    <col customWidth="1" min="5" max="6" width="11.14"/>
    <col customWidth="1" min="7" max="7" width="12.29"/>
    <col customWidth="1" min="8" max="8" width="11.14"/>
    <col customWidth="1" min="9" max="9" width="14.57"/>
    <col customWidth="1" min="10" max="10" width="10.14"/>
    <col customWidth="1" min="11" max="12" width="12.29"/>
    <col customWidth="1" min="13" max="26" width="8.71"/>
  </cols>
  <sheetData>
    <row r="1">
      <c r="A1" s="1" t="s">
        <v>2</v>
      </c>
    </row>
    <row r="2">
      <c r="A2" s="5" t="s">
        <v>13</v>
      </c>
      <c r="C2" s="6" t="s">
        <v>23</v>
      </c>
    </row>
    <row r="4" ht="33.75" customHeight="1">
      <c r="A4" s="2" t="s">
        <v>15</v>
      </c>
      <c r="B4" s="2" t="s">
        <v>32</v>
      </c>
      <c r="C4" s="2" t="s">
        <v>12</v>
      </c>
      <c r="D4" s="2" t="s">
        <v>22</v>
      </c>
      <c r="E4" s="2" t="s">
        <v>24</v>
      </c>
      <c r="F4" s="2" t="s">
        <v>25</v>
      </c>
      <c r="G4" s="2" t="s">
        <v>27</v>
      </c>
      <c r="H4" s="2" t="s">
        <v>38</v>
      </c>
      <c r="I4" s="2" t="s">
        <v>40</v>
      </c>
      <c r="J4" s="2" t="s">
        <v>42</v>
      </c>
      <c r="K4" s="2" t="s">
        <v>45</v>
      </c>
      <c r="L4" s="2" t="s">
        <v>49</v>
      </c>
    </row>
    <row r="5">
      <c r="A5" s="9" t="s">
        <v>52</v>
      </c>
      <c r="B5" s="16">
        <f>COUNTIF(Backlog!$H:$H,$A5)</f>
        <v>1</v>
      </c>
      <c r="C5" s="16">
        <f>SUMIF(Backlog!$H:$H,$A5,Backlog!$G:$G)</f>
        <v>8</v>
      </c>
      <c r="D5" s="16">
        <f>COUNTIF(WBS!$H:$H,$A5)</f>
        <v>8</v>
      </c>
      <c r="E5" s="16">
        <f>SUMIF(WBS!$H:$H,$A5,WBS!$E:$E)</f>
        <v>0</v>
      </c>
      <c r="F5" s="16">
        <f>SUMIF(WBS!$H:$H,$A5,WBS!$L:$L)</f>
        <v>0</v>
      </c>
      <c r="G5" s="16">
        <f>SUMIF(WBS!$H:$H,$A5,WBS!$M:$M)</f>
        <v>0</v>
      </c>
      <c r="H5" s="16">
        <f>COUNTIFS(WBS!$H:$H,$A5,WBS!$F:$F,"done")</f>
        <v>8</v>
      </c>
      <c r="I5" s="16">
        <f>COUNTIFS(WBS!$H:$H,$A5,WBS!$F:$F,"in-progress")</f>
        <v>0</v>
      </c>
      <c r="J5" s="16">
        <f>COUNTIFS(WBS!$H:$H,$A5,WBS!$F:$F,"todo")</f>
        <v>0</v>
      </c>
      <c r="K5" s="16">
        <f>COUNTIFS(WBS!$H:$H,$A5,WBS!$F:$F,"pending")</f>
        <v>0</v>
      </c>
      <c r="L5" s="27">
        <f>IFERROR(SUMIFS(WBS!$E:$E,WBS!$H:$H,$A5,WBS!$F:$F,"done")/$E5,0)</f>
        <v>0</v>
      </c>
    </row>
    <row r="6">
      <c r="A6" s="9" t="s">
        <v>23</v>
      </c>
      <c r="B6" s="16">
        <f>COUNTIF(Backlog!$H:$H,$A6)</f>
        <v>8</v>
      </c>
      <c r="C6" s="16">
        <f>SUMIF(Backlog!$H:$H,$A6,Backlog!$G:$G)</f>
        <v>44</v>
      </c>
      <c r="D6" s="16">
        <f>COUNTIF(WBS!$H:$H,$A6)</f>
        <v>22</v>
      </c>
      <c r="E6" s="16">
        <f>SUMIF(WBS!$H:$H,$A6,WBS!$E:$E)</f>
        <v>0</v>
      </c>
      <c r="F6" s="16">
        <f>SUMIF(WBS!$H:$H,$A6,WBS!$L:$L)</f>
        <v>0</v>
      </c>
      <c r="G6" s="16">
        <f>SUMIF(WBS!$H:$H,$A6,WBS!$M:$M)</f>
        <v>0</v>
      </c>
      <c r="H6" s="16">
        <f>COUNTIFS(WBS!$H:$H,$A6,WBS!$F:$F,"done")</f>
        <v>22</v>
      </c>
      <c r="I6" s="16">
        <f>COUNTIFS(WBS!$H:$H,$A6,WBS!$F:$F,"in-progress")</f>
        <v>0</v>
      </c>
      <c r="J6" s="16">
        <f>COUNTIFS(WBS!$H:$H,$A6,WBS!$F:$F,"todo")</f>
        <v>0</v>
      </c>
      <c r="K6" s="16">
        <f>COUNTIFS(WBS!$H:$H,$A6,WBS!$F:$F,"pending")</f>
        <v>0</v>
      </c>
      <c r="L6" s="27">
        <f>IFERROR(SUMIFS(WBS!$E:$E,WBS!$H:$H,$A6,WBS!$F:$F,"done")/$E6,0)</f>
        <v>0</v>
      </c>
    </row>
    <row r="7">
      <c r="A7" s="9" t="s">
        <v>72</v>
      </c>
      <c r="B7" s="16">
        <f>COUNTIF(Backlog!$H:$H,$A7)</f>
        <v>7</v>
      </c>
      <c r="C7" s="16">
        <f>SUMIF(Backlog!$H:$H,$A7,Backlog!$G:$G)</f>
        <v>60</v>
      </c>
      <c r="D7" s="16">
        <f>COUNTIF(WBS!$H:$H,$A7)</f>
        <v>12</v>
      </c>
      <c r="E7" s="16">
        <f>SUMIF(WBS!$H:$H,$A7,WBS!$E:$E)</f>
        <v>0</v>
      </c>
      <c r="F7" s="16">
        <f>SUMIF(WBS!$H:$H,$A7,WBS!$L:$L)</f>
        <v>0</v>
      </c>
      <c r="G7" s="16">
        <f>SUMIF(WBS!$H:$H,$A7,WBS!$M:$M)</f>
        <v>0</v>
      </c>
      <c r="H7" s="16">
        <f>COUNTIFS(WBS!$H:$H,$A7,WBS!$F:$F,"done")</f>
        <v>12</v>
      </c>
      <c r="I7" s="16">
        <f>COUNTIFS(WBS!$H:$H,$A7,WBS!$F:$F,"in-progress")</f>
        <v>0</v>
      </c>
      <c r="J7" s="16">
        <f>COUNTIFS(WBS!$H:$H,$A7,WBS!$F:$F,"todo")</f>
        <v>0</v>
      </c>
      <c r="K7" s="16">
        <f>COUNTIFS(WBS!$H:$H,$A7,WBS!$F:$F,"pending")</f>
        <v>0</v>
      </c>
      <c r="L7" s="27">
        <f>IFERROR(SUMIFS(WBS!$E:$E,WBS!$H:$H,$A7,WBS!$F:$F,"done")/$E7,0)</f>
        <v>0</v>
      </c>
    </row>
    <row r="8">
      <c r="A8" s="9" t="s">
        <v>88</v>
      </c>
      <c r="B8" s="16">
        <f>COUNTIF(Backlog!$H:$H,$A8)</f>
        <v>7</v>
      </c>
      <c r="C8" s="16">
        <f>SUMIF(Backlog!$H:$H,$A8,Backlog!$G:$G)</f>
        <v>32</v>
      </c>
      <c r="D8" s="16">
        <f>COUNTIF(WBS!$H:$H,$A8)</f>
        <v>12</v>
      </c>
      <c r="E8" s="16">
        <f>SUMIF(WBS!$H:$H,$A8,WBS!$E:$E)</f>
        <v>0</v>
      </c>
      <c r="F8" s="16">
        <f>SUMIF(WBS!$H:$H,$A8,WBS!$L:$L)</f>
        <v>0</v>
      </c>
      <c r="G8" s="16">
        <f>SUMIF(WBS!$H:$H,$A8,WBS!$M:$M)</f>
        <v>0</v>
      </c>
      <c r="H8" s="16">
        <f>COUNTIFS(WBS!$H:$H,$A8,WBS!$F:$F,"done")</f>
        <v>12</v>
      </c>
      <c r="I8" s="16">
        <f>COUNTIFS(WBS!$H:$H,$A8,WBS!$F:$F,"in-progress")</f>
        <v>0</v>
      </c>
      <c r="J8" s="16">
        <f>COUNTIFS(WBS!$H:$H,$A8,WBS!$F:$F,"todo")</f>
        <v>0</v>
      </c>
      <c r="K8" s="16">
        <f>COUNTIFS(WBS!$H:$H,$A8,WBS!$F:$F,"pending")</f>
        <v>0</v>
      </c>
      <c r="L8" s="27">
        <f>IFERROR(SUMIFS(WBS!$E:$E,WBS!$H:$H,$A8,WBS!$F:$F,"done")/$E8,0)</f>
        <v>0</v>
      </c>
    </row>
    <row r="9">
      <c r="A9" s="9" t="s">
        <v>147</v>
      </c>
      <c r="B9" s="16">
        <f>COUNTIF(Backlog!$H:$H,$A9)</f>
        <v>0</v>
      </c>
      <c r="C9" s="16">
        <f>SUMIF(Backlog!$H:$H,$A9,Backlog!$G:$G)</f>
        <v>0</v>
      </c>
      <c r="D9" s="16">
        <f>COUNTIF(WBS!$H:$H,$A9)</f>
        <v>0</v>
      </c>
      <c r="E9" s="16">
        <f>SUMIF(WBS!$H:$H,$A9,WBS!$E:$E)</f>
        <v>0</v>
      </c>
      <c r="F9" s="16">
        <f>SUMIF(WBS!$H:$H,$A9,WBS!$L:$L)</f>
        <v>0</v>
      </c>
      <c r="G9" s="16">
        <f>SUMIF(WBS!$H:$H,$A9,WBS!$M:$M)</f>
        <v>0</v>
      </c>
      <c r="H9" s="16">
        <f>COUNTIFS(WBS!$H:$H,$A9,WBS!$F:$F,"done")</f>
        <v>0</v>
      </c>
      <c r="I9" s="16">
        <f>COUNTIFS(WBS!$H:$H,$A9,WBS!$F:$F,"in-progress")</f>
        <v>0</v>
      </c>
      <c r="J9" s="16">
        <f>COUNTIFS(WBS!$H:$H,$A9,WBS!$F:$F,"todo")</f>
        <v>0</v>
      </c>
      <c r="K9" s="16">
        <f>COUNTIFS(WBS!$H:$H,$A9,WBS!$F:$F,"pending")</f>
        <v>0</v>
      </c>
      <c r="L9" s="27">
        <f>IFERROR(SUMIFS(WBS!$E:$E,WBS!$H:$H,$A9,WBS!$F:$F,"done")/$E9,0)</f>
        <v>0</v>
      </c>
    </row>
    <row r="12">
      <c r="A12" s="1" t="s">
        <v>202</v>
      </c>
    </row>
    <row r="13" ht="33.75" customHeight="1">
      <c r="A13" s="2" t="s">
        <v>204</v>
      </c>
      <c r="B13" s="2" t="s">
        <v>22</v>
      </c>
      <c r="C13" s="2" t="s">
        <v>24</v>
      </c>
      <c r="D13" s="2" t="s">
        <v>25</v>
      </c>
      <c r="E13" s="2" t="s">
        <v>27</v>
      </c>
      <c r="F13" s="2" t="s">
        <v>38</v>
      </c>
      <c r="G13" s="2" t="s">
        <v>40</v>
      </c>
      <c r="H13" s="2" t="s">
        <v>42</v>
      </c>
      <c r="I13" s="2" t="s">
        <v>45</v>
      </c>
      <c r="J13" s="2" t="s">
        <v>209</v>
      </c>
      <c r="K13" s="2" t="s">
        <v>211</v>
      </c>
      <c r="L13" s="2"/>
    </row>
    <row r="14">
      <c r="A14" s="9" t="str">
        <f>IF('Master Data'!$O$5="","",'Master Data'!$O$5)</f>
        <v>TienPQ9</v>
      </c>
      <c r="B14" s="16">
        <f>COUNTIFS(WBS!$D:$D,$A14,WBS!$H:$H,$C$2)</f>
        <v>9</v>
      </c>
      <c r="C14" s="16">
        <f>SUMIFS(WBS!$E:$E,WBS!$D:$D,$A14,WBS!$H:$H,$C$2)</f>
        <v>0</v>
      </c>
      <c r="D14" s="16">
        <f>SUMIFS(WBS!$L:$L,WBS!$D:$D,$A14,WBS!$H:$H,$C$2)</f>
        <v>0</v>
      </c>
      <c r="E14" s="16">
        <f>SUMIFS(WBS!$M:$M,WBS!$D:$D,$A14,WBS!$H:$H,$C$2)</f>
        <v>0</v>
      </c>
      <c r="F14" s="16">
        <f>COUNTIFS(WBS!$D:$D,$A14,WBS!$H:$H,$C$2,WBS!$F:$F,"done")</f>
        <v>9</v>
      </c>
      <c r="G14" s="16">
        <f>COUNTIFS(WBS!$D:$D,$A14,WBS!$H:$H,$C$2,WBS!$F:$F,"in-progress")</f>
        <v>0</v>
      </c>
      <c r="H14" s="16">
        <f>COUNTIFS(WBS!$D:$D,$A14,WBS!$H:$H,$C$2,WBS!$F:$F,"todo")</f>
        <v>0</v>
      </c>
      <c r="I14" s="16">
        <f>COUNTIFS(WBS!$D:$D,$A14,WBS!$H:$H,$C$2,WBS!$F:$F,"pending")</f>
        <v>0</v>
      </c>
      <c r="J14" s="38">
        <v>30.0</v>
      </c>
      <c r="K14" s="27">
        <f t="shared" ref="K14:K18" si="1">IFERROR($C14/$J14,0)</f>
        <v>0</v>
      </c>
    </row>
    <row r="15">
      <c r="A15" s="9" t="str">
        <f>IF('Master Data'!$O$6="","",'Master Data'!$O$6)</f>
        <v>DuongNT182</v>
      </c>
      <c r="B15" s="16">
        <f>COUNTIFS(WBS!$D:$D,$A15,WBS!$H:$H,$C$2)</f>
        <v>4</v>
      </c>
      <c r="C15" s="16">
        <f>SUMIFS(WBS!$E:$E,WBS!$D:$D,$A15,WBS!$H:$H,$C$2)</f>
        <v>0</v>
      </c>
      <c r="D15" s="16">
        <f>SUMIFS(WBS!$L:$L,WBS!$D:$D,$A15,WBS!$H:$H,$C$2)</f>
        <v>0</v>
      </c>
      <c r="E15" s="16">
        <f>SUMIFS(WBS!$M:$M,WBS!$D:$D,$A15,WBS!$H:$H,$C$2)</f>
        <v>0</v>
      </c>
      <c r="F15" s="16">
        <f>COUNTIFS(WBS!$D:$D,$A15,WBS!$H:$H,$C$2,WBS!$F:$F,"done")</f>
        <v>4</v>
      </c>
      <c r="G15" s="16">
        <f>COUNTIFS(WBS!$D:$D,$A15,WBS!$H:$H,$C$2,WBS!$F:$F,"in-progress")</f>
        <v>0</v>
      </c>
      <c r="H15" s="16">
        <f>COUNTIFS(WBS!$D:$D,$A15,WBS!$H:$H,$C$2,WBS!$F:$F,"todo")</f>
        <v>0</v>
      </c>
      <c r="I15" s="16">
        <f>COUNTIFS(WBS!$D:$D,$A15,WBS!$H:$H,$C$2,WBS!$F:$F,"pending")</f>
        <v>0</v>
      </c>
      <c r="J15" s="38">
        <v>30.0</v>
      </c>
      <c r="K15" s="27">
        <f t="shared" si="1"/>
        <v>0</v>
      </c>
    </row>
    <row r="16">
      <c r="A16" s="9" t="str">
        <f>IF('Master Data'!$O$7="","",'Master Data'!$O$7)</f>
        <v>TungNT188</v>
      </c>
      <c r="B16" s="16">
        <f>COUNTIFS(WBS!$D:$D,$A16,WBS!$H:$H,$C$2)</f>
        <v>9</v>
      </c>
      <c r="C16" s="16">
        <f>SUMIFS(WBS!$E:$E,WBS!$D:$D,$A16,WBS!$H:$H,$C$2)</f>
        <v>0</v>
      </c>
      <c r="D16" s="16">
        <f>SUMIFS(WBS!$L:$L,WBS!$D:$D,$A16,WBS!$H:$H,$C$2)</f>
        <v>0</v>
      </c>
      <c r="E16" s="16">
        <f>SUMIFS(WBS!$M:$M,WBS!$D:$D,$A16,WBS!$H:$H,$C$2)</f>
        <v>0</v>
      </c>
      <c r="F16" s="16">
        <f>COUNTIFS(WBS!$D:$D,$A16,WBS!$H:$H,$C$2,WBS!$F:$F,"done")</f>
        <v>9</v>
      </c>
      <c r="G16" s="16">
        <f>COUNTIFS(WBS!$D:$D,$A16,WBS!$H:$H,$C$2,WBS!$F:$F,"in-progress")</f>
        <v>0</v>
      </c>
      <c r="H16" s="16">
        <f>COUNTIFS(WBS!$D:$D,$A16,WBS!$H:$H,$C$2,WBS!$F:$F,"todo")</f>
        <v>0</v>
      </c>
      <c r="I16" s="16">
        <f>COUNTIFS(WBS!$D:$D,$A16,WBS!$H:$H,$C$2,WBS!$F:$F,"pending")</f>
        <v>0</v>
      </c>
      <c r="J16" s="38">
        <v>30.0</v>
      </c>
      <c r="K16" s="27">
        <f t="shared" si="1"/>
        <v>0</v>
      </c>
    </row>
    <row r="17">
      <c r="A17" s="9" t="str">
        <f>IF('Master Data'!$O$8="","",'Master Data'!$O$8)</f>
        <v/>
      </c>
      <c r="B17" s="16">
        <f>COUNTIFS(WBS!$D:$D,$A17,WBS!$H:$H,$C$2)</f>
        <v>0</v>
      </c>
      <c r="C17" s="16">
        <f>SUMIFS(WBS!$E:$E,WBS!$D:$D,$A17,WBS!$H:$H,$C$2)</f>
        <v>0</v>
      </c>
      <c r="D17" s="16">
        <f>SUMIFS(WBS!$L:$L,WBS!$D:$D,$A17,WBS!$H:$H,$C$2)</f>
        <v>0</v>
      </c>
      <c r="E17" s="16">
        <f>SUMIFS(WBS!$M:$M,WBS!$D:$D,$A17,WBS!$H:$H,$C$2)</f>
        <v>0</v>
      </c>
      <c r="F17" s="16">
        <f>COUNTIFS(WBS!$D:$D,$A17,WBS!$H:$H,$C$2,WBS!$F:$F,"done")</f>
        <v>0</v>
      </c>
      <c r="G17" s="16">
        <f>COUNTIFS(WBS!$D:$D,$A17,WBS!$H:$H,$C$2,WBS!$F:$F,"in-progress")</f>
        <v>0</v>
      </c>
      <c r="H17" s="16">
        <f>COUNTIFS(WBS!$D:$D,$A17,WBS!$H:$H,$C$2,WBS!$F:$F,"todo")</f>
        <v>0</v>
      </c>
      <c r="I17" s="16">
        <f>COUNTIFS(WBS!$D:$D,$A17,WBS!$H:$H,$C$2,WBS!$F:$F,"pending")</f>
        <v>0</v>
      </c>
      <c r="J17" s="38">
        <v>30.0</v>
      </c>
      <c r="K17" s="27">
        <f t="shared" si="1"/>
        <v>0</v>
      </c>
    </row>
    <row r="18">
      <c r="A18" s="9" t="str">
        <f>IF('Master Data'!$O$9="","",'Master Data'!$O$9)</f>
        <v>&lt;acc5&gt;</v>
      </c>
      <c r="B18" s="16">
        <f>COUNTIFS(WBS!$D:$D,$A18,WBS!$H:$H,$C$2)</f>
        <v>0</v>
      </c>
      <c r="C18" s="16">
        <f>SUMIFS(WBS!$E:$E,WBS!$D:$D,$A18,WBS!$H:$H,$C$2)</f>
        <v>0</v>
      </c>
      <c r="D18" s="16">
        <f>SUMIFS(WBS!$L:$L,WBS!$D:$D,$A18,WBS!$H:$H,$C$2)</f>
        <v>0</v>
      </c>
      <c r="E18" s="16">
        <f>SUMIFS(WBS!$M:$M,WBS!$D:$D,$A18,WBS!$H:$H,$C$2)</f>
        <v>0</v>
      </c>
      <c r="F18" s="16">
        <f>COUNTIFS(WBS!$D:$D,$A18,WBS!$H:$H,$C$2,WBS!$F:$F,"done")</f>
        <v>0</v>
      </c>
      <c r="G18" s="16">
        <f>COUNTIFS(WBS!$D:$D,$A18,WBS!$H:$H,$C$2,WBS!$F:$F,"in-progress")</f>
        <v>0</v>
      </c>
      <c r="H18" s="16">
        <f>COUNTIFS(WBS!$D:$D,$A18,WBS!$H:$H,$C$2,WBS!$F:$F,"todo")</f>
        <v>0</v>
      </c>
      <c r="I18" s="16">
        <f>COUNTIFS(WBS!$D:$D,$A18,WBS!$H:$H,$C$2,WBS!$F:$F,"pending")</f>
        <v>0</v>
      </c>
      <c r="J18" s="38">
        <v>30.0</v>
      </c>
      <c r="K18" s="27">
        <f t="shared" si="1"/>
        <v>0</v>
      </c>
    </row>
    <row r="20">
      <c r="A20" s="4" t="s">
        <v>313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0:K20"/>
  </mergeCells>
  <dataValidations>
    <dataValidation type="list" allowBlank="1" showInputMessage="1" showErrorMessage="1" prompt="Value not allowed - Pick a sprint from the Master Data sheet." sqref="C2">
      <formula1>'Master Data'!$J$5:$J$9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57"/>
    <col customWidth="1" min="2" max="2" width="49.29"/>
    <col customWidth="1" min="3" max="3" width="44.86"/>
    <col customWidth="1" min="4" max="4" width="8.71"/>
    <col customWidth="1" min="5" max="5" width="12.29"/>
    <col customWidth="1" min="6" max="6" width="42.57"/>
    <col customWidth="1" min="7" max="7" width="8.71"/>
    <col customWidth="1" min="8" max="8" width="10.14"/>
    <col customWidth="1" min="9" max="9" width="8.71"/>
    <col customWidth="1" min="10" max="10" width="12.29"/>
    <col customWidth="1" min="11" max="12" width="13.43"/>
    <col customWidth="1" min="13" max="13" width="19.0"/>
    <col customWidth="1" min="14" max="14" width="8.71"/>
    <col customWidth="1" min="15" max="15" width="14.57"/>
    <col customWidth="1" min="16" max="16" width="24.57"/>
    <col customWidth="1" min="17" max="17" width="26.86"/>
    <col customWidth="1" min="18" max="18" width="8.71"/>
    <col customWidth="1" min="19" max="19" width="14.57"/>
    <col customWidth="1" min="20" max="20" width="8.71"/>
    <col customWidth="1" min="21" max="21" width="13.43"/>
    <col customWidth="1" min="22" max="22" width="8.71"/>
    <col customWidth="1" min="23" max="23" width="10.14"/>
    <col customWidth="1" min="24" max="24" width="38.14"/>
    <col customWidth="1" min="25" max="25" width="8.71"/>
    <col customWidth="1" min="26" max="26" width="10.14"/>
    <col customWidth="1" min="27" max="27" width="8.71"/>
    <col customWidth="1" min="28" max="28" width="14.57"/>
    <col customWidth="1" min="29" max="29" width="15.71"/>
    <col customWidth="1" min="30" max="30" width="49.29"/>
  </cols>
  <sheetData>
    <row r="1">
      <c r="A1" s="1" t="s">
        <v>0</v>
      </c>
    </row>
    <row r="2">
      <c r="A2" s="4" t="s">
        <v>3</v>
      </c>
    </row>
    <row r="4" ht="33.75" customHeight="1">
      <c r="A4" s="2" t="s">
        <v>10</v>
      </c>
      <c r="B4" s="2" t="s">
        <v>16</v>
      </c>
      <c r="C4" s="2" t="s">
        <v>31</v>
      </c>
      <c r="E4" s="2" t="s">
        <v>9</v>
      </c>
      <c r="F4" s="2" t="s">
        <v>35</v>
      </c>
      <c r="H4" s="2" t="s">
        <v>12</v>
      </c>
      <c r="J4" s="2" t="s">
        <v>15</v>
      </c>
      <c r="K4" s="2" t="s">
        <v>41</v>
      </c>
      <c r="L4" s="2" t="s">
        <v>46</v>
      </c>
      <c r="M4" s="2" t="s">
        <v>50</v>
      </c>
      <c r="O4" s="2" t="s">
        <v>14</v>
      </c>
      <c r="P4" s="2" t="s">
        <v>53</v>
      </c>
      <c r="Q4" s="2" t="s">
        <v>54</v>
      </c>
      <c r="S4" s="2" t="s">
        <v>26</v>
      </c>
      <c r="U4" s="2" t="s">
        <v>56</v>
      </c>
      <c r="W4" s="2" t="s">
        <v>20</v>
      </c>
      <c r="X4" s="2" t="s">
        <v>59</v>
      </c>
      <c r="Z4" s="2" t="s">
        <v>61</v>
      </c>
      <c r="AB4" s="2" t="s">
        <v>62</v>
      </c>
      <c r="AC4" s="2" t="s">
        <v>63</v>
      </c>
      <c r="AD4" s="2" t="s">
        <v>64</v>
      </c>
    </row>
    <row r="5">
      <c r="A5" s="22" t="s">
        <v>42</v>
      </c>
      <c r="B5" s="22" t="s">
        <v>66</v>
      </c>
      <c r="C5" s="22" t="s">
        <v>68</v>
      </c>
      <c r="E5" s="22" t="s">
        <v>51</v>
      </c>
      <c r="F5" s="22" t="s">
        <v>71</v>
      </c>
      <c r="H5" s="9">
        <v>1.0</v>
      </c>
      <c r="J5" s="22" t="s">
        <v>52</v>
      </c>
      <c r="K5" s="24">
        <v>46247.0</v>
      </c>
      <c r="L5" s="24">
        <v>46253.0</v>
      </c>
      <c r="M5" s="22" t="s">
        <v>75</v>
      </c>
      <c r="O5" s="26" t="s">
        <v>60</v>
      </c>
      <c r="P5" s="26" t="s">
        <v>76</v>
      </c>
      <c r="Q5" s="26" t="s">
        <v>78</v>
      </c>
      <c r="S5" s="22" t="s">
        <v>79</v>
      </c>
      <c r="U5" s="22" t="s">
        <v>80</v>
      </c>
      <c r="W5" s="22" t="s">
        <v>83</v>
      </c>
      <c r="X5" s="22" t="s">
        <v>85</v>
      </c>
      <c r="Z5" s="9" t="s">
        <v>65</v>
      </c>
      <c r="AB5" s="22" t="s">
        <v>1</v>
      </c>
      <c r="AC5" s="22" t="s">
        <v>34</v>
      </c>
      <c r="AD5" s="22" t="s">
        <v>90</v>
      </c>
    </row>
    <row r="6">
      <c r="A6" s="22" t="s">
        <v>40</v>
      </c>
      <c r="B6" s="22" t="s">
        <v>92</v>
      </c>
      <c r="C6" s="22" t="s">
        <v>93</v>
      </c>
      <c r="E6" s="22" t="s">
        <v>84</v>
      </c>
      <c r="F6" s="22" t="s">
        <v>98</v>
      </c>
      <c r="H6" s="9">
        <v>2.0</v>
      </c>
      <c r="J6" s="22" t="s">
        <v>23</v>
      </c>
      <c r="K6" s="24">
        <v>46254.0</v>
      </c>
      <c r="L6" s="24">
        <v>46259.0</v>
      </c>
      <c r="M6" s="22" t="s">
        <v>99</v>
      </c>
      <c r="O6" s="26" t="s">
        <v>58</v>
      </c>
      <c r="P6" s="26" t="s">
        <v>100</v>
      </c>
      <c r="Q6" s="26" t="s">
        <v>78</v>
      </c>
      <c r="S6" s="22" t="s">
        <v>101</v>
      </c>
      <c r="U6" s="22" t="s">
        <v>103</v>
      </c>
      <c r="W6" s="22" t="s">
        <v>108</v>
      </c>
      <c r="X6" s="22" t="s">
        <v>110</v>
      </c>
      <c r="Z6" s="9" t="s">
        <v>111</v>
      </c>
      <c r="AB6" s="22" t="s">
        <v>8</v>
      </c>
      <c r="AC6" s="22" t="s">
        <v>112</v>
      </c>
      <c r="AD6" s="22" t="s">
        <v>113</v>
      </c>
    </row>
    <row r="7">
      <c r="A7" s="22" t="s">
        <v>38</v>
      </c>
      <c r="B7" s="22" t="s">
        <v>114</v>
      </c>
      <c r="C7" s="22" t="s">
        <v>115</v>
      </c>
      <c r="E7" s="22" t="s">
        <v>116</v>
      </c>
      <c r="F7" s="22" t="s">
        <v>117</v>
      </c>
      <c r="H7" s="9">
        <v>3.0</v>
      </c>
      <c r="J7" s="22" t="s">
        <v>72</v>
      </c>
      <c r="K7" s="24">
        <v>46260.0</v>
      </c>
      <c r="L7" s="24">
        <v>46269.0</v>
      </c>
      <c r="M7" s="22" t="s">
        <v>123</v>
      </c>
      <c r="O7" s="26" t="s">
        <v>89</v>
      </c>
      <c r="P7" s="26" t="s">
        <v>124</v>
      </c>
      <c r="Q7" s="26" t="s">
        <v>78</v>
      </c>
      <c r="S7" s="22" t="s">
        <v>125</v>
      </c>
      <c r="U7" s="22" t="s">
        <v>126</v>
      </c>
      <c r="W7" s="22" t="s">
        <v>127</v>
      </c>
      <c r="X7" s="22" t="s">
        <v>128</v>
      </c>
      <c r="AB7" s="22" t="s">
        <v>129</v>
      </c>
      <c r="AC7" s="22" t="s">
        <v>131</v>
      </c>
      <c r="AD7" s="22" t="s">
        <v>133</v>
      </c>
    </row>
    <row r="8">
      <c r="A8" s="22" t="s">
        <v>45</v>
      </c>
      <c r="B8" s="22" t="s">
        <v>136</v>
      </c>
      <c r="C8" s="22" t="s">
        <v>137</v>
      </c>
      <c r="E8" s="22" t="s">
        <v>139</v>
      </c>
      <c r="F8" s="22" t="s">
        <v>141</v>
      </c>
      <c r="H8" s="9">
        <v>5.0</v>
      </c>
      <c r="J8" s="22" t="s">
        <v>88</v>
      </c>
      <c r="K8" s="24">
        <v>46272.0</v>
      </c>
      <c r="L8" s="24">
        <v>46276.0</v>
      </c>
      <c r="M8" s="22" t="s">
        <v>142</v>
      </c>
      <c r="O8" s="22"/>
      <c r="P8" s="22"/>
      <c r="Q8" s="22"/>
      <c r="S8" s="22" t="s">
        <v>143</v>
      </c>
      <c r="U8" s="22" t="s">
        <v>144</v>
      </c>
    </row>
    <row r="9">
      <c r="H9" s="9">
        <v>8.0</v>
      </c>
      <c r="J9" s="22" t="s">
        <v>147</v>
      </c>
      <c r="K9" s="22"/>
      <c r="L9" s="22"/>
      <c r="M9" s="22" t="s">
        <v>148</v>
      </c>
      <c r="O9" s="22" t="s">
        <v>149</v>
      </c>
      <c r="P9" s="22" t="s">
        <v>150</v>
      </c>
      <c r="Q9" s="22" t="s">
        <v>151</v>
      </c>
      <c r="S9" s="22" t="s">
        <v>152</v>
      </c>
      <c r="U9" s="22" t="s">
        <v>154</v>
      </c>
    </row>
    <row r="10">
      <c r="H10" s="9">
        <v>13.0</v>
      </c>
      <c r="S10" s="22" t="s">
        <v>156</v>
      </c>
    </row>
    <row r="11">
      <c r="S11" s="22" t="s">
        <v>158</v>
      </c>
    </row>
    <row r="12">
      <c r="S12" s="22" t="s">
        <v>160</v>
      </c>
    </row>
    <row r="13">
      <c r="S13" s="22" t="s">
        <v>161</v>
      </c>
    </row>
    <row r="14">
      <c r="S14" s="22" t="s">
        <v>144</v>
      </c>
    </row>
    <row r="15">
      <c r="S15" s="22" t="s">
        <v>162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7.0"/>
    <col customWidth="1" min="2" max="2" width="100.0"/>
    <col customWidth="1" min="3" max="26" width="8.71"/>
  </cols>
  <sheetData>
    <row r="1">
      <c r="A1" s="1" t="s">
        <v>233</v>
      </c>
    </row>
    <row r="2" ht="48.0" customHeight="1">
      <c r="A2" s="39" t="s">
        <v>147</v>
      </c>
      <c r="B2" s="40" t="s">
        <v>234</v>
      </c>
    </row>
    <row r="3" ht="48.0" customHeight="1">
      <c r="A3" s="39" t="s">
        <v>235</v>
      </c>
      <c r="B3" s="40" t="s">
        <v>237</v>
      </c>
    </row>
    <row r="4" ht="48.0" customHeight="1">
      <c r="A4" s="39" t="s">
        <v>239</v>
      </c>
      <c r="B4" s="40" t="s">
        <v>240</v>
      </c>
    </row>
    <row r="5" ht="31.5" customHeight="1">
      <c r="A5" s="39" t="s">
        <v>241</v>
      </c>
      <c r="B5" s="40" t="s">
        <v>243</v>
      </c>
    </row>
    <row r="7">
      <c r="A7" s="1" t="s">
        <v>245</v>
      </c>
    </row>
    <row r="8" ht="31.5" customHeight="1">
      <c r="A8" s="39" t="s">
        <v>1</v>
      </c>
      <c r="B8" s="40" t="s">
        <v>246</v>
      </c>
    </row>
    <row r="9" ht="48.0" customHeight="1">
      <c r="A9" s="39" t="s">
        <v>8</v>
      </c>
      <c r="B9" s="40" t="s">
        <v>249</v>
      </c>
    </row>
    <row r="10" ht="18.0" customHeight="1">
      <c r="A10" s="39" t="s">
        <v>11</v>
      </c>
      <c r="B10" s="40" t="s">
        <v>250</v>
      </c>
    </row>
    <row r="11" ht="31.5" customHeight="1">
      <c r="A11" s="39" t="s">
        <v>129</v>
      </c>
      <c r="B11" s="40" t="s">
        <v>251</v>
      </c>
    </row>
    <row r="13">
      <c r="A13" s="1" t="s">
        <v>252</v>
      </c>
    </row>
    <row r="14" ht="31.5" customHeight="1">
      <c r="A14" s="39" t="s">
        <v>253</v>
      </c>
      <c r="B14" s="40" t="s">
        <v>254</v>
      </c>
    </row>
    <row r="15" ht="18.0" customHeight="1">
      <c r="A15" s="39" t="s">
        <v>255</v>
      </c>
      <c r="B15" s="40" t="s">
        <v>256</v>
      </c>
    </row>
    <row r="16" ht="31.5" customHeight="1">
      <c r="A16" s="39" t="s">
        <v>257</v>
      </c>
      <c r="B16" s="40" t="s">
        <v>258</v>
      </c>
    </row>
    <row r="17" ht="31.5" customHeight="1">
      <c r="A17" s="39" t="s">
        <v>259</v>
      </c>
      <c r="B17" s="40" t="s">
        <v>260</v>
      </c>
    </row>
    <row r="18" ht="31.5" customHeight="1">
      <c r="A18" s="39" t="s">
        <v>261</v>
      </c>
      <c r="B18" s="40" t="s">
        <v>262</v>
      </c>
    </row>
    <row r="19" ht="31.5" customHeight="1">
      <c r="A19" s="39" t="s">
        <v>27</v>
      </c>
      <c r="B19" s="40" t="s">
        <v>263</v>
      </c>
    </row>
    <row r="21" ht="15.75" customHeight="1">
      <c r="A21" s="1" t="s">
        <v>264</v>
      </c>
    </row>
    <row r="22" ht="18.0" customHeight="1">
      <c r="A22" s="39" t="s">
        <v>42</v>
      </c>
      <c r="B22" s="40" t="s">
        <v>266</v>
      </c>
    </row>
    <row r="23" ht="18.0" customHeight="1">
      <c r="A23" s="39" t="s">
        <v>40</v>
      </c>
      <c r="B23" s="40" t="s">
        <v>268</v>
      </c>
    </row>
    <row r="24" ht="18.0" customHeight="1">
      <c r="A24" s="39" t="s">
        <v>38</v>
      </c>
      <c r="B24" s="40" t="s">
        <v>270</v>
      </c>
    </row>
    <row r="25" ht="31.5" customHeight="1">
      <c r="A25" s="39" t="s">
        <v>45</v>
      </c>
      <c r="B25" s="40" t="s">
        <v>272</v>
      </c>
    </row>
    <row r="26" ht="15.75" customHeight="1"/>
    <row r="27" ht="15.75" customHeight="1">
      <c r="A27" s="1" t="s">
        <v>274</v>
      </c>
    </row>
    <row r="28" ht="31.5" customHeight="1">
      <c r="A28" s="39" t="s">
        <v>42</v>
      </c>
      <c r="B28" s="40" t="s">
        <v>275</v>
      </c>
    </row>
    <row r="29" ht="31.5" customHeight="1">
      <c r="A29" s="39" t="s">
        <v>40</v>
      </c>
      <c r="B29" s="40" t="s">
        <v>276</v>
      </c>
    </row>
    <row r="30" ht="31.5" customHeight="1">
      <c r="A30" s="39" t="s">
        <v>38</v>
      </c>
      <c r="B30" s="40" t="s">
        <v>277</v>
      </c>
    </row>
    <row r="31" ht="48.0" customHeight="1">
      <c r="A31" s="39" t="s">
        <v>45</v>
      </c>
      <c r="B31" s="40" t="s">
        <v>278</v>
      </c>
    </row>
    <row r="32" ht="48.0" customHeight="1">
      <c r="A32" s="39" t="s">
        <v>279</v>
      </c>
      <c r="B32" s="40" t="s">
        <v>280</v>
      </c>
    </row>
    <row r="33" ht="15.75" customHeight="1"/>
    <row r="34" ht="15.75" customHeight="1">
      <c r="A34" s="1" t="s">
        <v>281</v>
      </c>
    </row>
    <row r="35" ht="31.5" customHeight="1">
      <c r="A35" s="39" t="s">
        <v>282</v>
      </c>
      <c r="B35" s="40" t="s">
        <v>283</v>
      </c>
    </row>
    <row r="36" ht="31.5" customHeight="1">
      <c r="A36" s="39" t="s">
        <v>284</v>
      </c>
      <c r="B36" s="40" t="s">
        <v>285</v>
      </c>
    </row>
    <row r="37" ht="31.5" customHeight="1">
      <c r="A37" s="39" t="s">
        <v>286</v>
      </c>
      <c r="B37" s="40" t="s">
        <v>287</v>
      </c>
    </row>
    <row r="38" ht="48.0" customHeight="1">
      <c r="A38" s="39" t="s">
        <v>288</v>
      </c>
      <c r="B38" s="40" t="s">
        <v>289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2026-08-20T06:29:51Z</dcterms:created>
  <dc:creator>openpyxl</dc:creator>
</cp:coreProperties>
</file>